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ing Long Temp\Documents\"/>
    </mc:Choice>
  </mc:AlternateContent>
  <bookViews>
    <workbookView xWindow="0" yWindow="0" windowWidth="9180" windowHeight="6930" activeTab="1"/>
  </bookViews>
  <sheets>
    <sheet name="Paste" sheetId="9" r:id="rId1"/>
    <sheet name="Copy" sheetId="8" r:id="rId2"/>
    <sheet name="Step 1" sheetId="3" r:id="rId3"/>
    <sheet name="Step 2" sheetId="4" r:id="rId4"/>
    <sheet name="Step 3" sheetId="6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3" l="1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A38" i="3"/>
  <c r="A39" i="3"/>
  <c r="A40" i="3"/>
  <c r="A41" i="3"/>
  <c r="A42" i="3"/>
  <c r="A43" i="3"/>
  <c r="A44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18" i="3"/>
  <c r="A19" i="3"/>
  <c r="A20" i="3"/>
  <c r="A21" i="3"/>
  <c r="A22" i="3"/>
  <c r="A23" i="3"/>
  <c r="A1" i="3"/>
  <c r="B17" i="3" l="1"/>
  <c r="B16" i="3"/>
  <c r="B15" i="3"/>
  <c r="B14" i="3"/>
  <c r="B13" i="3"/>
  <c r="B12" i="3"/>
  <c r="B11" i="3"/>
  <c r="B10" i="3"/>
  <c r="B9" i="3"/>
  <c r="B8" i="3"/>
  <c r="B7" i="3"/>
  <c r="B6" i="3"/>
  <c r="B5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4" i="3"/>
  <c r="A3" i="3"/>
  <c r="A10" i="8" s="1"/>
  <c r="A2" i="3"/>
  <c r="A8" i="4" l="1"/>
  <c r="A8" i="8"/>
  <c r="B43" i="4"/>
  <c r="B47" i="4"/>
  <c r="B51" i="4"/>
  <c r="A42" i="4"/>
  <c r="A46" i="4"/>
  <c r="A50" i="4"/>
  <c r="B44" i="4"/>
  <c r="B48" i="4"/>
  <c r="B52" i="4"/>
  <c r="A43" i="4"/>
  <c r="A47" i="4"/>
  <c r="A51" i="4"/>
  <c r="B41" i="4"/>
  <c r="B45" i="4"/>
  <c r="B49" i="4"/>
  <c r="B53" i="4"/>
  <c r="A44" i="4"/>
  <c r="A48" i="4"/>
  <c r="A52" i="4"/>
  <c r="B42" i="4"/>
  <c r="B46" i="4"/>
  <c r="B50" i="4"/>
  <c r="A41" i="4"/>
  <c r="A45" i="4"/>
  <c r="A49" i="4"/>
  <c r="A53" i="4"/>
  <c r="B39" i="4"/>
  <c r="B40" i="4"/>
  <c r="A39" i="4"/>
  <c r="A40" i="4"/>
  <c r="A6" i="8"/>
  <c r="A1" i="8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14" i="4"/>
  <c r="A10" i="6"/>
  <c r="A8" i="6"/>
  <c r="A6" i="6"/>
  <c r="A1" i="6"/>
  <c r="A10" i="4"/>
  <c r="A6" i="4"/>
  <c r="A1" i="4"/>
  <c r="A14" i="6" l="1"/>
  <c r="A14" i="8" s="1"/>
  <c r="A15" i="6"/>
  <c r="A20" i="6" l="1"/>
  <c r="A19" i="6"/>
  <c r="A19" i="8" s="1"/>
  <c r="A15" i="8"/>
  <c r="A17" i="8"/>
  <c r="A16" i="8"/>
  <c r="A24" i="6" l="1"/>
  <c r="A24" i="8" s="1"/>
  <c r="A25" i="6"/>
  <c r="A22" i="8"/>
  <c r="A21" i="8"/>
  <c r="A20" i="8"/>
  <c r="A29" i="6" l="1"/>
  <c r="A29" i="8" s="1"/>
  <c r="A30" i="6"/>
  <c r="A27" i="8"/>
  <c r="A25" i="8"/>
  <c r="A26" i="8"/>
  <c r="A34" i="6" l="1"/>
  <c r="A34" i="8" s="1"/>
  <c r="A35" i="6"/>
  <c r="A32" i="8"/>
  <c r="A31" i="8"/>
  <c r="A30" i="8"/>
  <c r="A39" i="6" l="1"/>
  <c r="A39" i="8" s="1"/>
  <c r="A40" i="6"/>
  <c r="A35" i="8"/>
  <c r="A37" i="8"/>
  <c r="A36" i="8"/>
  <c r="A44" i="6" l="1"/>
  <c r="A44" i="8" s="1"/>
  <c r="A45" i="6"/>
  <c r="A42" i="8"/>
  <c r="A41" i="8"/>
  <c r="A40" i="8"/>
  <c r="A49" i="6" l="1"/>
  <c r="A49" i="8" s="1"/>
  <c r="A50" i="6"/>
  <c r="A47" i="8"/>
  <c r="A45" i="8"/>
  <c r="A46" i="8"/>
  <c r="A54" i="6" l="1"/>
  <c r="A54" i="8" s="1"/>
  <c r="A55" i="6"/>
  <c r="A52" i="8"/>
  <c r="A51" i="8"/>
  <c r="A50" i="8"/>
  <c r="A59" i="6" l="1"/>
  <c r="A59" i="8" s="1"/>
  <c r="A60" i="6"/>
  <c r="A55" i="8"/>
  <c r="A57" i="8"/>
  <c r="A56" i="8"/>
  <c r="A64" i="6" l="1"/>
  <c r="A64" i="8" s="1"/>
  <c r="A65" i="6"/>
  <c r="A62" i="8"/>
  <c r="A61" i="8"/>
  <c r="A60" i="8"/>
  <c r="A69" i="6" l="1"/>
  <c r="A69" i="8" s="1"/>
  <c r="A70" i="6"/>
  <c r="A67" i="8"/>
  <c r="A65" i="8"/>
  <c r="A66" i="8"/>
  <c r="A74" i="6" l="1"/>
  <c r="A74" i="8" s="1"/>
  <c r="A75" i="6"/>
  <c r="A72" i="8"/>
  <c r="A71" i="8"/>
  <c r="A70" i="8"/>
  <c r="A79" i="6" l="1"/>
  <c r="A79" i="8" s="1"/>
  <c r="A80" i="6"/>
  <c r="A75" i="8"/>
  <c r="A77" i="8"/>
  <c r="A76" i="8"/>
  <c r="A84" i="6" l="1"/>
  <c r="A84" i="8" s="1"/>
  <c r="A85" i="6"/>
  <c r="A82" i="8"/>
  <c r="A81" i="8"/>
  <c r="A80" i="8"/>
  <c r="A89" i="6" l="1"/>
  <c r="A89" i="8" s="1"/>
  <c r="A90" i="6"/>
  <c r="A87" i="8"/>
  <c r="A85" i="8"/>
  <c r="A86" i="8"/>
  <c r="A94" i="6" l="1"/>
  <c r="A94" i="8" s="1"/>
  <c r="A95" i="6"/>
  <c r="A92" i="8"/>
  <c r="A91" i="8"/>
  <c r="A90" i="8"/>
  <c r="A99" i="6" l="1"/>
  <c r="A99" i="8" s="1"/>
  <c r="A100" i="6"/>
  <c r="A95" i="8"/>
  <c r="A97" i="8"/>
  <c r="A96" i="8"/>
  <c r="A102" i="8" l="1"/>
  <c r="A100" i="8"/>
  <c r="A104" i="6"/>
  <c r="A104" i="8" s="1"/>
  <c r="A105" i="6"/>
  <c r="A101" i="8"/>
  <c r="A109" i="6" l="1"/>
  <c r="A110" i="6"/>
  <c r="A107" i="8"/>
  <c r="A105" i="8"/>
  <c r="A106" i="8"/>
  <c r="A109" i="8" l="1"/>
  <c r="A114" i="6"/>
  <c r="A114" i="8" s="1"/>
  <c r="A115" i="6"/>
  <c r="A112" i="8"/>
  <c r="A111" i="8"/>
  <c r="A110" i="8"/>
  <c r="A119" i="6" l="1"/>
  <c r="A119" i="8" s="1"/>
  <c r="A120" i="6"/>
  <c r="A115" i="8"/>
  <c r="A117" i="8"/>
  <c r="A116" i="8"/>
  <c r="A124" i="6" l="1"/>
  <c r="A124" i="8" s="1"/>
  <c r="A125" i="6"/>
  <c r="A122" i="8"/>
  <c r="A121" i="8"/>
  <c r="A120" i="8"/>
  <c r="A129" i="6" l="1"/>
  <c r="A129" i="8" s="1"/>
  <c r="A130" i="6"/>
  <c r="A127" i="8"/>
  <c r="A125" i="8"/>
  <c r="A126" i="8"/>
  <c r="A134" i="6" l="1"/>
  <c r="A134" i="8" s="1"/>
  <c r="A135" i="6"/>
  <c r="A132" i="8"/>
  <c r="A130" i="8"/>
  <c r="A131" i="8"/>
  <c r="A139" i="6" l="1"/>
  <c r="A139" i="8" s="1"/>
  <c r="A140" i="6"/>
  <c r="A137" i="8"/>
  <c r="A136" i="8"/>
  <c r="A135" i="8"/>
  <c r="A144" i="6" l="1"/>
  <c r="A145" i="6"/>
  <c r="A150" i="6" s="1"/>
  <c r="A142" i="8"/>
  <c r="A141" i="8"/>
  <c r="A140" i="8"/>
  <c r="A155" i="6" l="1"/>
  <c r="A152" i="8"/>
  <c r="A151" i="8"/>
  <c r="A150" i="8"/>
  <c r="A149" i="6"/>
  <c r="A144" i="8"/>
  <c r="A145" i="8"/>
  <c r="A147" i="8"/>
  <c r="A146" i="8"/>
  <c r="A154" i="6" l="1"/>
  <c r="A149" i="8"/>
  <c r="A160" i="6"/>
  <c r="A157" i="8"/>
  <c r="A156" i="8"/>
  <c r="A155" i="8"/>
  <c r="A165" i="6" l="1"/>
  <c r="A162" i="8"/>
  <c r="A161" i="8"/>
  <c r="A160" i="8"/>
  <c r="A159" i="6"/>
  <c r="A154" i="8"/>
  <c r="A164" i="6" l="1"/>
  <c r="A159" i="8"/>
  <c r="A170" i="6"/>
  <c r="A167" i="8"/>
  <c r="A166" i="8"/>
  <c r="A165" i="8"/>
  <c r="A175" i="6" l="1"/>
  <c r="A172" i="8"/>
  <c r="A171" i="8"/>
  <c r="A170" i="8"/>
  <c r="A169" i="6"/>
  <c r="A164" i="8"/>
  <c r="A174" i="6" l="1"/>
  <c r="A169" i="8"/>
  <c r="A180" i="6"/>
  <c r="A177" i="8"/>
  <c r="A176" i="8"/>
  <c r="A175" i="8"/>
  <c r="A185" i="6" l="1"/>
  <c r="A182" i="8"/>
  <c r="A181" i="8"/>
  <c r="A180" i="8"/>
  <c r="A179" i="6"/>
  <c r="A174" i="8"/>
  <c r="A184" i="6" l="1"/>
  <c r="A179" i="8"/>
  <c r="A190" i="6"/>
  <c r="A187" i="8"/>
  <c r="A186" i="8"/>
  <c r="A185" i="8"/>
  <c r="A195" i="6" l="1"/>
  <c r="A192" i="8"/>
  <c r="A191" i="8"/>
  <c r="A190" i="8"/>
  <c r="A189" i="6"/>
  <c r="A184" i="8"/>
  <c r="A194" i="6" l="1"/>
  <c r="A189" i="8"/>
  <c r="A200" i="6"/>
  <c r="A197" i="8"/>
  <c r="A196" i="8"/>
  <c r="A195" i="8"/>
  <c r="A205" i="6" l="1"/>
  <c r="A202" i="8"/>
  <c r="A201" i="8"/>
  <c r="A200" i="8"/>
  <c r="A199" i="6"/>
  <c r="A194" i="8"/>
  <c r="A204" i="6" l="1"/>
  <c r="A199" i="8"/>
  <c r="A210" i="6"/>
  <c r="A207" i="8"/>
  <c r="A206" i="8"/>
  <c r="A205" i="8"/>
  <c r="A212" i="8" l="1"/>
  <c r="A211" i="8"/>
  <c r="A210" i="8"/>
  <c r="A209" i="6"/>
  <c r="A209" i="8" s="1"/>
  <c r="A204" i="8"/>
</calcChain>
</file>

<file path=xl/sharedStrings.xml><?xml version="1.0" encoding="utf-8"?>
<sst xmlns="http://schemas.openxmlformats.org/spreadsheetml/2006/main" count="114" uniqueCount="22">
  <si>
    <t>For Flavor Use</t>
  </si>
  <si>
    <t xml:space="preserve">Source: Good Scents Company </t>
  </si>
  <si>
    <t>URL: http://www.thegoodscentscompany.com/demos/df1011712.html</t>
  </si>
  <si>
    <t># How much total mass this formula yields</t>
  </si>
  <si>
    <t>yields:</t>
  </si>
  <si>
    <t xml:space="preserve">  unit: KG</t>
  </si>
  <si>
    <t>ingredients:</t>
  </si>
  <si>
    <t xml:space="preserve">    units:  KG</t>
  </si>
  <si>
    <t xml:space="preserve">    notes: </t>
  </si>
  <si>
    <t>alpha-ionone</t>
  </si>
  <si>
    <t>vanillin</t>
  </si>
  <si>
    <t>propylene glycol</t>
  </si>
  <si>
    <t>isoamyl isovalerate</t>
  </si>
  <si>
    <t>ethyl isovalerate</t>
  </si>
  <si>
    <t>ethyl acetate</t>
  </si>
  <si>
    <t>cis-3-hexenol</t>
  </si>
  <si>
    <t>linalool</t>
  </si>
  <si>
    <t>benzyl acetate</t>
  </si>
  <si>
    <t>raspberry ketone</t>
  </si>
  <si>
    <t>Woodberry flavor</t>
  </si>
  <si>
    <t>Patent 7,105,194 Organoleptic compositions: use of 3-mercapto alkanoic acid esters as flavor ingredients</t>
  </si>
  <si>
    <t>omega-pentadecalactone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</si>
</sst>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30</xdr:row>
          <xdr:rowOff>0</xdr:rowOff>
        </xdr:from>
        <xdr:to>
          <xdr:col>3</xdr:col>
          <xdr:colOff>152400</xdr:colOff>
          <xdr:row>31</xdr:row>
          <xdr:rowOff>114300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4"/>
  <sheetViews>
    <sheetView workbookViewId="0">
      <selection sqref="A1:C14"/>
    </sheetView>
  </sheetViews>
  <sheetFormatPr defaultRowHeight="15" x14ac:dyDescent="0.25"/>
  <sheetData>
    <row r="1" spans="1:2" x14ac:dyDescent="0.25">
      <c r="A1" t="s">
        <v>19</v>
      </c>
    </row>
    <row r="2" spans="1:2" x14ac:dyDescent="0.25">
      <c r="A2" t="s">
        <v>20</v>
      </c>
    </row>
    <row r="3" spans="1:2" x14ac:dyDescent="0.25">
      <c r="A3" t="s">
        <v>0</v>
      </c>
    </row>
    <row r="4" spans="1:2" x14ac:dyDescent="0.25">
      <c r="A4">
        <v>0.5</v>
      </c>
      <c r="B4" t="s">
        <v>17</v>
      </c>
    </row>
    <row r="5" spans="1:2" x14ac:dyDescent="0.25">
      <c r="A5">
        <v>4</v>
      </c>
      <c r="B5" t="s">
        <v>14</v>
      </c>
    </row>
    <row r="6" spans="1:2" x14ac:dyDescent="0.25">
      <c r="A6">
        <v>1.5</v>
      </c>
      <c r="B6" t="s">
        <v>13</v>
      </c>
    </row>
    <row r="7" spans="1:2" x14ac:dyDescent="0.25">
      <c r="A7">
        <v>0.1</v>
      </c>
      <c r="B7" t="s">
        <v>15</v>
      </c>
    </row>
    <row r="8" spans="1:2" x14ac:dyDescent="0.25">
      <c r="A8">
        <v>0.2</v>
      </c>
      <c r="B8" t="s">
        <v>9</v>
      </c>
    </row>
    <row r="9" spans="1:2" x14ac:dyDescent="0.25">
      <c r="A9">
        <v>0.5</v>
      </c>
      <c r="B9" t="s">
        <v>16</v>
      </c>
    </row>
    <row r="10" spans="1:2" x14ac:dyDescent="0.25">
      <c r="A10">
        <v>0.3</v>
      </c>
      <c r="B10" t="s">
        <v>12</v>
      </c>
    </row>
    <row r="11" spans="1:2" x14ac:dyDescent="0.25">
      <c r="A11">
        <v>2</v>
      </c>
      <c r="B11" t="s">
        <v>18</v>
      </c>
    </row>
    <row r="12" spans="1:2" x14ac:dyDescent="0.25">
      <c r="A12">
        <v>0.4</v>
      </c>
      <c r="B12" t="s">
        <v>21</v>
      </c>
    </row>
    <row r="13" spans="1:2" x14ac:dyDescent="0.25">
      <c r="A13">
        <v>0.5</v>
      </c>
      <c r="B13" t="s">
        <v>10</v>
      </c>
    </row>
    <row r="14" spans="1:2" x14ac:dyDescent="0.25">
      <c r="A14">
        <v>90</v>
      </c>
      <c r="B14" t="s">
        <v>11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212"/>
  <sheetViews>
    <sheetView tabSelected="1" workbookViewId="0"/>
  </sheetViews>
  <sheetFormatPr defaultRowHeight="15" x14ac:dyDescent="0.25"/>
  <cols>
    <col min="1" max="1" width="23.140625" customWidth="1"/>
  </cols>
  <sheetData>
    <row r="1" spans="1:1" x14ac:dyDescent="0.25">
      <c r="A1" t="str">
        <f>CONCATENATE("flavor_name: ",'Step 1'!A1)</f>
        <v>flavor_name: WOODBERRY FLAVOR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tr">
        <f>CONCATENATE("  amount: ",SUM('Step 1'!A:A))</f>
        <v xml:space="preserve">  amount: 100</v>
      </c>
    </row>
    <row r="7" spans="1:1" x14ac:dyDescent="0.25">
      <c r="A7" t="s">
        <v>5</v>
      </c>
    </row>
    <row r="8" spans="1:1" x14ac:dyDescent="0.25">
      <c r="A8" t="str">
        <f>IF(LEFT('Step 1'!A2,11)="Application",'Step 1'!A2,"")</f>
        <v/>
      </c>
    </row>
    <row r="10" spans="1:1" x14ac:dyDescent="0.25">
      <c r="A10" t="str">
        <f>CONCATENATE("info: ",'Step 1'!A3)</f>
        <v>info: Patent 7,105,194 Organoleptic compositions: use of 3-mercapto alkanoic acid esters as flavor ingredients</v>
      </c>
    </row>
    <row r="12" spans="1:1" x14ac:dyDescent="0.25">
      <c r="A12" t="s">
        <v>6</v>
      </c>
    </row>
    <row r="14" spans="1:1" x14ac:dyDescent="0.25">
      <c r="A14" t="str">
        <f>IF(OR('Step 3'!A14="0",'Step 3'!A14=""),"",CONCATENATE("  ",'Step 3'!A14,":"))</f>
        <v xml:space="preserve">  BENZYL ACETATE:</v>
      </c>
    </row>
    <row r="15" spans="1:1" x14ac:dyDescent="0.25">
      <c r="A15" t="str">
        <f>IF('Step 3'!A15=0,"",CONCATENATE("    amount: ",'Step 3'!A15))</f>
        <v xml:space="preserve">    amount: 0.5</v>
      </c>
    </row>
    <row r="16" spans="1:1" x14ac:dyDescent="0.25">
      <c r="A16" t="str">
        <f>IF('Step 3'!A15=0,"","    units:  KG")</f>
        <v xml:space="preserve">    units:  KG</v>
      </c>
    </row>
    <row r="17" spans="1:1" x14ac:dyDescent="0.25">
      <c r="A17" t="str">
        <f>IF('Step 3'!A15=0,"","    notes: ")</f>
        <v xml:space="preserve">    notes: </v>
      </c>
    </row>
    <row r="19" spans="1:1" x14ac:dyDescent="0.25">
      <c r="A19" t="str">
        <f>IF(OR('Step 3'!A19="0",'Step 3'!A19=""),"",CONCATENATE("  ",'Step 3'!A19,":"))</f>
        <v xml:space="preserve">  ETHYL ACETATE:</v>
      </c>
    </row>
    <row r="20" spans="1:1" x14ac:dyDescent="0.25">
      <c r="A20" t="str">
        <f>IF('Step 3'!A20=0,"",CONCATENATE("    amount: ",'Step 3'!A20))</f>
        <v xml:space="preserve">    amount: 4</v>
      </c>
    </row>
    <row r="21" spans="1:1" x14ac:dyDescent="0.25">
      <c r="A21" t="str">
        <f>IF('Step 3'!A20=0,"","    units:  KG")</f>
        <v xml:space="preserve">    units:  KG</v>
      </c>
    </row>
    <row r="22" spans="1:1" x14ac:dyDescent="0.25">
      <c r="A22" t="str">
        <f>IF('Step 3'!A20=0,"","    notes: ")</f>
        <v xml:space="preserve">    notes: </v>
      </c>
    </row>
    <row r="24" spans="1:1" x14ac:dyDescent="0.25">
      <c r="A24" t="str">
        <f>IF(OR('Step 3'!A24="0",'Step 3'!A24=""),"",CONCATENATE("  ",'Step 3'!A24,":"))</f>
        <v xml:space="preserve">  ETHYL ISOVALERATE:</v>
      </c>
    </row>
    <row r="25" spans="1:1" x14ac:dyDescent="0.25">
      <c r="A25" t="str">
        <f>IF('Step 3'!A25=0,"",CONCATENATE("    amount: ",'Step 3'!A25))</f>
        <v xml:space="preserve">    amount: 1.5</v>
      </c>
    </row>
    <row r="26" spans="1:1" x14ac:dyDescent="0.25">
      <c r="A26" t="str">
        <f>IF('Step 3'!A25=0,"","    units:  KG")</f>
        <v xml:space="preserve">    units:  KG</v>
      </c>
    </row>
    <row r="27" spans="1:1" x14ac:dyDescent="0.25">
      <c r="A27" t="str">
        <f>IF('Step 3'!A25=0,"","    notes: ")</f>
        <v xml:space="preserve">    notes: </v>
      </c>
    </row>
    <row r="29" spans="1:1" x14ac:dyDescent="0.25">
      <c r="A29" t="str">
        <f>IF(OR('Step 3'!A29="0",'Step 3'!A29=""),"",CONCATENATE("  ",'Step 3'!A29,":"))</f>
        <v xml:space="preserve">  CIS-3-HEXENOL:</v>
      </c>
    </row>
    <row r="30" spans="1:1" x14ac:dyDescent="0.25">
      <c r="A30" t="str">
        <f>IF('Step 3'!A30=0,"",CONCATENATE("    amount: ",'Step 3'!A30))</f>
        <v xml:space="preserve">    amount: 0.1</v>
      </c>
    </row>
    <row r="31" spans="1:1" x14ac:dyDescent="0.25">
      <c r="A31" t="str">
        <f>IF('Step 3'!A30=0,"","    units:  KG")</f>
        <v xml:space="preserve">    units:  KG</v>
      </c>
    </row>
    <row r="32" spans="1:1" x14ac:dyDescent="0.25">
      <c r="A32" t="str">
        <f>IF('Step 3'!A30=0,"","    notes: ")</f>
        <v xml:space="preserve">    notes: </v>
      </c>
    </row>
    <row r="34" spans="1:1" x14ac:dyDescent="0.25">
      <c r="A34" t="str">
        <f>IF(OR('Step 3'!A34="0",'Step 3'!A34=""),"",CONCATENATE("  ",'Step 3'!A34,":"))</f>
        <v xml:space="preserve">  ALPHA-IONONE:</v>
      </c>
    </row>
    <row r="35" spans="1:1" x14ac:dyDescent="0.25">
      <c r="A35" t="str">
        <f>IF('Step 3'!A35=0,"",CONCATENATE("    amount: ",'Step 3'!A35))</f>
        <v xml:space="preserve">    amount: 0.2</v>
      </c>
    </row>
    <row r="36" spans="1:1" x14ac:dyDescent="0.25">
      <c r="A36" t="str">
        <f>IF('Step 3'!A35=0,"","    units:  KG")</f>
        <v xml:space="preserve">    units:  KG</v>
      </c>
    </row>
    <row r="37" spans="1:1" x14ac:dyDescent="0.25">
      <c r="A37" t="str">
        <f>IF('Step 3'!A35=0,"","    notes: ")</f>
        <v xml:space="preserve">    notes: </v>
      </c>
    </row>
    <row r="39" spans="1:1" x14ac:dyDescent="0.25">
      <c r="A39" t="str">
        <f>IF(OR('Step 3'!A39="0",'Step 3'!A39=""),"",CONCATENATE("  ",'Step 3'!A39,":"))</f>
        <v xml:space="preserve">  LINALOOL:</v>
      </c>
    </row>
    <row r="40" spans="1:1" x14ac:dyDescent="0.25">
      <c r="A40" t="str">
        <f>IF('Step 3'!A40=0,"",CONCATENATE("    amount: ",'Step 3'!A40))</f>
        <v xml:space="preserve">    amount: 0.5</v>
      </c>
    </row>
    <row r="41" spans="1:1" x14ac:dyDescent="0.25">
      <c r="A41" t="str">
        <f>IF('Step 3'!A40=0,"","    units:  KG")</f>
        <v xml:space="preserve">    units:  KG</v>
      </c>
    </row>
    <row r="42" spans="1:1" x14ac:dyDescent="0.25">
      <c r="A42" t="str">
        <f>IF('Step 3'!A40=0,"","    notes: ")</f>
        <v xml:space="preserve">    notes: </v>
      </c>
    </row>
    <row r="44" spans="1:1" x14ac:dyDescent="0.25">
      <c r="A44" t="str">
        <f>IF(OR('Step 3'!A44="0",'Step 3'!A44=""),"",CONCATENATE("  ",'Step 3'!A44,":"))</f>
        <v xml:space="preserve">  ISOAMYL ISOVALERATE:</v>
      </c>
    </row>
    <row r="45" spans="1:1" x14ac:dyDescent="0.25">
      <c r="A45" t="str">
        <f>IF('Step 3'!A45=0,"",CONCATENATE("    amount: ",'Step 3'!A45))</f>
        <v xml:space="preserve">    amount: 0.3</v>
      </c>
    </row>
    <row r="46" spans="1:1" x14ac:dyDescent="0.25">
      <c r="A46" t="str">
        <f>IF('Step 3'!A45=0,"","    units:  KG")</f>
        <v xml:space="preserve">    units:  KG</v>
      </c>
    </row>
    <row r="47" spans="1:1" x14ac:dyDescent="0.25">
      <c r="A47" t="str">
        <f>IF('Step 3'!A45=0,"","    notes: ")</f>
        <v xml:space="preserve">    notes: </v>
      </c>
    </row>
    <row r="49" spans="1:1" x14ac:dyDescent="0.25">
      <c r="A49" t="str">
        <f>IF(OR('Step 3'!A49="0",'Step 3'!A49=""),"",CONCATENATE("  ",'Step 3'!A49,":"))</f>
        <v xml:space="preserve">  RASPBERRY KETONE:</v>
      </c>
    </row>
    <row r="50" spans="1:1" x14ac:dyDescent="0.25">
      <c r="A50" t="str">
        <f>IF('Step 3'!A50=0,"",CONCATENATE("    amount: ",'Step 3'!A50))</f>
        <v xml:space="preserve">    amount: 2</v>
      </c>
    </row>
    <row r="51" spans="1:1" x14ac:dyDescent="0.25">
      <c r="A51" t="str">
        <f>IF('Step 3'!A50=0,"","    units:  KG")</f>
        <v xml:space="preserve">    units:  KG</v>
      </c>
    </row>
    <row r="52" spans="1:1" x14ac:dyDescent="0.25">
      <c r="A52" t="str">
        <f>IF('Step 3'!A50=0,"","    notes: ")</f>
        <v xml:space="preserve">    notes: </v>
      </c>
    </row>
    <row r="54" spans="1:1" x14ac:dyDescent="0.25">
      <c r="A54" t="str">
        <f>IF(OR('Step 3'!A54="0",'Step 3'!A54=""),"",CONCATENATE("  ",'Step 3'!A54,":"))</f>
        <v xml:space="preserve">  OMEGA-PENTADECALACTONE:</v>
      </c>
    </row>
    <row r="55" spans="1:1" x14ac:dyDescent="0.25">
      <c r="A55" t="str">
        <f>IF('Step 3'!A55=0,"",CONCATENATE("    amount: ",'Step 3'!A55))</f>
        <v xml:space="preserve">    amount: 0.4</v>
      </c>
    </row>
    <row r="56" spans="1:1" x14ac:dyDescent="0.25">
      <c r="A56" t="str">
        <f>IF('Step 3'!A55=0,"","    units:  KG")</f>
        <v xml:space="preserve">    units:  KG</v>
      </c>
    </row>
    <row r="57" spans="1:1" x14ac:dyDescent="0.25">
      <c r="A57" t="str">
        <f>IF('Step 3'!A55=0,"","    notes: ")</f>
        <v xml:space="preserve">    notes: </v>
      </c>
    </row>
    <row r="59" spans="1:1" x14ac:dyDescent="0.25">
      <c r="A59" t="str">
        <f>IF(OR('Step 3'!A59="0",'Step 3'!A59=""),"",CONCATENATE("  ",'Step 3'!A59,":"))</f>
        <v xml:space="preserve">  VANILLIN:</v>
      </c>
    </row>
    <row r="60" spans="1:1" x14ac:dyDescent="0.25">
      <c r="A60" t="str">
        <f>IF('Step 3'!A60=0,"",CONCATENATE("    amount: ",'Step 3'!A60))</f>
        <v xml:space="preserve">    amount: 0.5</v>
      </c>
    </row>
    <row r="61" spans="1:1" x14ac:dyDescent="0.25">
      <c r="A61" t="str">
        <f>IF('Step 3'!A60=0,"","    units:  KG")</f>
        <v xml:space="preserve">    units:  KG</v>
      </c>
    </row>
    <row r="62" spans="1:1" x14ac:dyDescent="0.25">
      <c r="A62" t="str">
        <f>IF('Step 3'!A60=0,"","    notes: ")</f>
        <v xml:space="preserve">    notes: </v>
      </c>
    </row>
    <row r="64" spans="1:1" x14ac:dyDescent="0.25">
      <c r="A64" t="str">
        <f>IF(OR('Step 3'!A64="0",'Step 3'!A64=""),"",CONCATENATE("  ",'Step 3'!A64,":"))</f>
        <v xml:space="preserve">  PROPYLENE GLYCOL:</v>
      </c>
    </row>
    <row r="65" spans="1:1" x14ac:dyDescent="0.25">
      <c r="A65" t="str">
        <f>IF('Step 3'!A65=0,"",CONCATENATE("    amount: ",'Step 3'!A65))</f>
        <v xml:space="preserve">    amount: 90</v>
      </c>
    </row>
    <row r="66" spans="1:1" x14ac:dyDescent="0.25">
      <c r="A66" t="str">
        <f>IF('Step 3'!A65=0,"","    units:  KG")</f>
        <v xml:space="preserve">    units:  KG</v>
      </c>
    </row>
    <row r="67" spans="1:1" x14ac:dyDescent="0.25">
      <c r="A67" t="str">
        <f>IF('Step 3'!A65=0,"","    notes: ")</f>
        <v xml:space="preserve">    notes: </v>
      </c>
    </row>
    <row r="69" spans="1:1" x14ac:dyDescent="0.25">
      <c r="A69" t="str">
        <f>IF(OR('Step 3'!A69="0",'Step 3'!A69=""),"",CONCATENATE("  ",'Step 3'!A69,":"))</f>
        <v/>
      </c>
    </row>
    <row r="70" spans="1:1" x14ac:dyDescent="0.25">
      <c r="A70" t="str">
        <f>IF('Step 3'!A70=0,"",CONCATENATE("    amount: ",'Step 3'!A70))</f>
        <v/>
      </c>
    </row>
    <row r="71" spans="1:1" x14ac:dyDescent="0.25">
      <c r="A71" t="str">
        <f>IF('Step 3'!A70=0,"","    units:  KG")</f>
        <v/>
      </c>
    </row>
    <row r="72" spans="1:1" x14ac:dyDescent="0.25">
      <c r="A72" t="str">
        <f>IF('Step 3'!A70=0,"","    notes: ")</f>
        <v/>
      </c>
    </row>
    <row r="74" spans="1:1" x14ac:dyDescent="0.25">
      <c r="A74" t="str">
        <f>IF(OR('Step 3'!A74="0",'Step 3'!A74=""),"",CONCATENATE("  ",'Step 3'!A74,":"))</f>
        <v/>
      </c>
    </row>
    <row r="75" spans="1:1" x14ac:dyDescent="0.25">
      <c r="A75" t="str">
        <f>IF('Step 3'!A75=0,"",CONCATENATE("    amount: ",'Step 3'!A75))</f>
        <v/>
      </c>
    </row>
    <row r="76" spans="1:1" x14ac:dyDescent="0.25">
      <c r="A76" t="str">
        <f>IF('Step 3'!A75=0,"","    units:  KG")</f>
        <v/>
      </c>
    </row>
    <row r="77" spans="1:1" x14ac:dyDescent="0.25">
      <c r="A77" t="str">
        <f>IF('Step 3'!A75=0,"","    notes: ")</f>
        <v/>
      </c>
    </row>
    <row r="79" spans="1:1" x14ac:dyDescent="0.25">
      <c r="A79" t="str">
        <f>IF(OR('Step 3'!A79="0",'Step 3'!A79=""),"",CONCATENATE("  ",'Step 3'!A79,":"))</f>
        <v/>
      </c>
    </row>
    <row r="80" spans="1:1" x14ac:dyDescent="0.25">
      <c r="A80" t="str">
        <f>IF('Step 3'!A80=0,"",CONCATENATE("    amount: ",'Step 3'!A80))</f>
        <v/>
      </c>
    </row>
    <row r="81" spans="1:1" x14ac:dyDescent="0.25">
      <c r="A81" t="str">
        <f>IF('Step 3'!A80=0,"","    units:  KG")</f>
        <v/>
      </c>
    </row>
    <row r="82" spans="1:1" x14ac:dyDescent="0.25">
      <c r="A82" t="str">
        <f>IF('Step 3'!A80=0,"","    notes: ")</f>
        <v/>
      </c>
    </row>
    <row r="84" spans="1:1" x14ac:dyDescent="0.25">
      <c r="A84" t="str">
        <f>IF(OR('Step 3'!A84="0",'Step 3'!A84=""),"",CONCATENATE("  ",'Step 3'!A84,":"))</f>
        <v/>
      </c>
    </row>
    <row r="85" spans="1:1" x14ac:dyDescent="0.25">
      <c r="A85" t="str">
        <f>IF('Step 3'!A85=0,"",CONCATENATE("    amount: ",'Step 3'!A85))</f>
        <v/>
      </c>
    </row>
    <row r="86" spans="1:1" x14ac:dyDescent="0.25">
      <c r="A86" t="str">
        <f>IF('Step 3'!A85=0,"","    units:  KG")</f>
        <v/>
      </c>
    </row>
    <row r="87" spans="1:1" x14ac:dyDescent="0.25">
      <c r="A87" t="str">
        <f>IF('Step 3'!A85=0,"","    notes: ")</f>
        <v/>
      </c>
    </row>
    <row r="89" spans="1:1" x14ac:dyDescent="0.25">
      <c r="A89" t="str">
        <f>IF(OR('Step 3'!A89="0",'Step 3'!A89=""),"",CONCATENATE("  ",'Step 3'!A89,":"))</f>
        <v/>
      </c>
    </row>
    <row r="90" spans="1:1" x14ac:dyDescent="0.25">
      <c r="A90" t="str">
        <f>IF('Step 3'!A90=0,"",CONCATENATE("    amount: ",'Step 3'!A90))</f>
        <v/>
      </c>
    </row>
    <row r="91" spans="1:1" x14ac:dyDescent="0.25">
      <c r="A91" t="str">
        <f>IF('Step 3'!A90=0,"","    units:  KG")</f>
        <v/>
      </c>
    </row>
    <row r="92" spans="1:1" x14ac:dyDescent="0.25">
      <c r="A92" t="str">
        <f>IF('Step 3'!A90=0,"","    notes: ")</f>
        <v/>
      </c>
    </row>
    <row r="94" spans="1:1" x14ac:dyDescent="0.25">
      <c r="A94" t="str">
        <f>IF(OR('Step 3'!A94="0",'Step 3'!A94=""),"",CONCATENATE("  ",'Step 3'!A94,":"))</f>
        <v/>
      </c>
    </row>
    <row r="95" spans="1:1" x14ac:dyDescent="0.25">
      <c r="A95" t="str">
        <f>IF('Step 3'!A95=0,"",CONCATENATE("    amount: ",'Step 3'!A95))</f>
        <v/>
      </c>
    </row>
    <row r="96" spans="1:1" x14ac:dyDescent="0.25">
      <c r="A96" t="str">
        <f>IF('Step 3'!A95=0,"","    units:  KG")</f>
        <v/>
      </c>
    </row>
    <row r="97" spans="1:1" x14ac:dyDescent="0.25">
      <c r="A97" t="str">
        <f>IF('Step 3'!A95=0,"","    notes: ")</f>
        <v/>
      </c>
    </row>
    <row r="99" spans="1:1" x14ac:dyDescent="0.25">
      <c r="A99" t="str">
        <f>IF(OR('Step 3'!A99="0",'Step 3'!A99=""),"",CONCATENATE("  ",'Step 3'!A99,":"))</f>
        <v/>
      </c>
    </row>
    <row r="100" spans="1:1" x14ac:dyDescent="0.25">
      <c r="A100" t="str">
        <f>IF('Step 3'!A100=0,"",CONCATENATE("    amount: ",'Step 3'!A100))</f>
        <v/>
      </c>
    </row>
    <row r="101" spans="1:1" x14ac:dyDescent="0.25">
      <c r="A101" t="str">
        <f>IF('Step 3'!A100=0,"","    units:  KG")</f>
        <v/>
      </c>
    </row>
    <row r="102" spans="1:1" x14ac:dyDescent="0.25">
      <c r="A102" t="str">
        <f>IF('Step 3'!A100=0,"","    notes: ")</f>
        <v/>
      </c>
    </row>
    <row r="104" spans="1:1" x14ac:dyDescent="0.25">
      <c r="A104" t="str">
        <f>IF(OR('Step 3'!A104="0",'Step 3'!A104=""),"",CONCATENATE("  ",'Step 3'!A104,":"))</f>
        <v/>
      </c>
    </row>
    <row r="105" spans="1:1" x14ac:dyDescent="0.25">
      <c r="A105" t="str">
        <f>IF('Step 3'!A105=0,"",CONCATENATE("    amount: ",'Step 3'!A105))</f>
        <v/>
      </c>
    </row>
    <row r="106" spans="1:1" x14ac:dyDescent="0.25">
      <c r="A106" t="str">
        <f>IF('Step 3'!A105=0,"","    units:  KG")</f>
        <v/>
      </c>
    </row>
    <row r="107" spans="1:1" x14ac:dyDescent="0.25">
      <c r="A107" t="str">
        <f>IF('Step 3'!A105=0,"","    notes: ")</f>
        <v/>
      </c>
    </row>
    <row r="109" spans="1:1" x14ac:dyDescent="0.25">
      <c r="A109" t="str">
        <f>IF(OR('Step 3'!A109="0",'Step 3'!A109=""),"",CONCATENATE("  ",'Step 3'!A109,":"))</f>
        <v/>
      </c>
    </row>
    <row r="110" spans="1:1" x14ac:dyDescent="0.25">
      <c r="A110" t="str">
        <f>IF('Step 3'!A110=0,"",CONCATENATE("    amount: ",'Step 3'!A110))</f>
        <v/>
      </c>
    </row>
    <row r="111" spans="1:1" x14ac:dyDescent="0.25">
      <c r="A111" t="str">
        <f>IF('Step 3'!A110=0,"","    units:  KG")</f>
        <v/>
      </c>
    </row>
    <row r="112" spans="1:1" x14ac:dyDescent="0.25">
      <c r="A112" t="str">
        <f>IF('Step 3'!A110=0,"","    notes: ")</f>
        <v/>
      </c>
    </row>
    <row r="114" spans="1:1" x14ac:dyDescent="0.25">
      <c r="A114" t="str">
        <f>IF(OR('Step 3'!A114="0",'Step 3'!A114=""),"",CONCATENATE("  ",'Step 3'!A114,":"))</f>
        <v/>
      </c>
    </row>
    <row r="115" spans="1:1" x14ac:dyDescent="0.25">
      <c r="A115" t="str">
        <f>IF('Step 3'!A115=0,"",CONCATENATE("    amount: ",'Step 3'!A115))</f>
        <v/>
      </c>
    </row>
    <row r="116" spans="1:1" x14ac:dyDescent="0.25">
      <c r="A116" t="str">
        <f>IF('Step 3'!A115=0,"","    units:  KG")</f>
        <v/>
      </c>
    </row>
    <row r="117" spans="1:1" x14ac:dyDescent="0.25">
      <c r="A117" t="str">
        <f>IF('Step 3'!A115=0,"","    notes: ")</f>
        <v/>
      </c>
    </row>
    <row r="119" spans="1:1" x14ac:dyDescent="0.25">
      <c r="A119" t="str">
        <f>IF(OR('Step 3'!A119="0",'Step 3'!A119=""),"",CONCATENATE("  ",'Step 3'!A119,":"))</f>
        <v/>
      </c>
    </row>
    <row r="120" spans="1:1" x14ac:dyDescent="0.25">
      <c r="A120" t="str">
        <f>IF('Step 3'!A120=0,"",CONCATENATE("    amount: ",'Step 3'!A120))</f>
        <v/>
      </c>
    </row>
    <row r="121" spans="1:1" x14ac:dyDescent="0.25">
      <c r="A121" t="str">
        <f>IF('Step 3'!A120=0,"","    units:  KG")</f>
        <v/>
      </c>
    </row>
    <row r="122" spans="1:1" x14ac:dyDescent="0.25">
      <c r="A122" t="str">
        <f>IF('Step 3'!A120=0,"","    notes: ")</f>
        <v/>
      </c>
    </row>
    <row r="124" spans="1:1" x14ac:dyDescent="0.25">
      <c r="A124" t="str">
        <f>IF(OR('Step 3'!A124="0",'Step 3'!A124=""),"",CONCATENATE("  ",'Step 3'!A124,":"))</f>
        <v/>
      </c>
    </row>
    <row r="125" spans="1:1" x14ac:dyDescent="0.25">
      <c r="A125" t="str">
        <f>IF('Step 3'!A125=0,"",CONCATENATE("    amount: ",'Step 3'!A125))</f>
        <v/>
      </c>
    </row>
    <row r="126" spans="1:1" x14ac:dyDescent="0.25">
      <c r="A126" t="str">
        <f>IF('Step 3'!A125=0,"","    units:  KG")</f>
        <v/>
      </c>
    </row>
    <row r="127" spans="1:1" x14ac:dyDescent="0.25">
      <c r="A127" t="str">
        <f>IF('Step 3'!A125=0,"","    notes: ")</f>
        <v/>
      </c>
    </row>
    <row r="129" spans="1:1" x14ac:dyDescent="0.25">
      <c r="A129" t="str">
        <f>IF(OR('Step 3'!A129="0",'Step 3'!A129=""),"",CONCATENATE("  ",'Step 3'!A129,":"))</f>
        <v/>
      </c>
    </row>
    <row r="130" spans="1:1" x14ac:dyDescent="0.25">
      <c r="A130" t="str">
        <f>IF('Step 3'!A130=0,"",CONCATENATE("    amount: ",'Step 3'!A130))</f>
        <v/>
      </c>
    </row>
    <row r="131" spans="1:1" x14ac:dyDescent="0.25">
      <c r="A131" t="str">
        <f>IF('Step 3'!A130=0,"","    units:  KG")</f>
        <v/>
      </c>
    </row>
    <row r="132" spans="1:1" x14ac:dyDescent="0.25">
      <c r="A132" t="str">
        <f>IF('Step 3'!A130=0,"","    notes: ")</f>
        <v/>
      </c>
    </row>
    <row r="134" spans="1:1" x14ac:dyDescent="0.25">
      <c r="A134" t="str">
        <f>IF(OR('Step 3'!A134="0",'Step 3'!A134=""),"",CONCATENATE("  ",'Step 3'!A134,":"))</f>
        <v/>
      </c>
    </row>
    <row r="135" spans="1:1" x14ac:dyDescent="0.25">
      <c r="A135" t="str">
        <f>IF('Step 3'!A135=0,"",CONCATENATE("    amount: ",'Step 3'!A135))</f>
        <v/>
      </c>
    </row>
    <row r="136" spans="1:1" x14ac:dyDescent="0.25">
      <c r="A136" t="str">
        <f>IF('Step 3'!A135=0,"","    units:  KG")</f>
        <v/>
      </c>
    </row>
    <row r="137" spans="1:1" x14ac:dyDescent="0.25">
      <c r="A137" t="str">
        <f>IF('Step 3'!A135=0,"","    notes: ")</f>
        <v/>
      </c>
    </row>
    <row r="139" spans="1:1" x14ac:dyDescent="0.25">
      <c r="A139" t="str">
        <f>IF(OR('Step 3'!A139="0",'Step 3'!A139=""),"",CONCATENATE("  ",'Step 3'!A139,":"))</f>
        <v/>
      </c>
    </row>
    <row r="140" spans="1:1" x14ac:dyDescent="0.25">
      <c r="A140" t="str">
        <f>IF('Step 3'!A140=0,"",CONCATENATE("    amount: ",'Step 3'!A140))</f>
        <v/>
      </c>
    </row>
    <row r="141" spans="1:1" x14ac:dyDescent="0.25">
      <c r="A141" t="str">
        <f>IF('Step 3'!A140=0,"","    units:  KG")</f>
        <v/>
      </c>
    </row>
    <row r="142" spans="1:1" x14ac:dyDescent="0.25">
      <c r="A142" t="str">
        <f>IF('Step 3'!A140=0,"","    notes: ")</f>
        <v/>
      </c>
    </row>
    <row r="144" spans="1:1" x14ac:dyDescent="0.25">
      <c r="A144" t="str">
        <f>IF(OR('Step 3'!A144="0",'Step 3'!A144=""),"",CONCATENATE("  ",'Step 3'!A144,":"))</f>
        <v/>
      </c>
    </row>
    <row r="145" spans="1:1" x14ac:dyDescent="0.25">
      <c r="A145" t="str">
        <f>IF('Step 3'!A145=0,"",CONCATENATE("    amount: ",'Step 3'!A145))</f>
        <v/>
      </c>
    </row>
    <row r="146" spans="1:1" x14ac:dyDescent="0.25">
      <c r="A146" t="str">
        <f>IF('Step 3'!A145=0,"","    units:  KG")</f>
        <v/>
      </c>
    </row>
    <row r="147" spans="1:1" x14ac:dyDescent="0.25">
      <c r="A147" t="str">
        <f>IF('Step 3'!A145=0,"","    notes: ")</f>
        <v/>
      </c>
    </row>
    <row r="149" spans="1:1" x14ac:dyDescent="0.25">
      <c r="A149" t="str">
        <f>IF(OR('Step 3'!A149="0",'Step 3'!A149=""),"",CONCATENATE("  ",'Step 3'!A149,":"))</f>
        <v/>
      </c>
    </row>
    <row r="150" spans="1:1" x14ac:dyDescent="0.25">
      <c r="A150" t="str">
        <f>IF('Step 3'!A150=0,"",CONCATENATE("    amount: ",'Step 3'!A150))</f>
        <v/>
      </c>
    </row>
    <row r="151" spans="1:1" x14ac:dyDescent="0.25">
      <c r="A151" t="str">
        <f>IF('Step 3'!A150=0,"","    units:  KG")</f>
        <v/>
      </c>
    </row>
    <row r="152" spans="1:1" x14ac:dyDescent="0.25">
      <c r="A152" t="str">
        <f>IF('Step 3'!A150=0,"","    notes: ")</f>
        <v/>
      </c>
    </row>
    <row r="154" spans="1:1" x14ac:dyDescent="0.25">
      <c r="A154" t="str">
        <f>IF(OR('Step 3'!A154="0",'Step 3'!A154=""),"",CONCATENATE("  ",'Step 3'!A154,":"))</f>
        <v/>
      </c>
    </row>
    <row r="155" spans="1:1" x14ac:dyDescent="0.25">
      <c r="A155" t="str">
        <f>IF('Step 3'!A155=0,"",CONCATENATE("    amount: ",'Step 3'!A155))</f>
        <v/>
      </c>
    </row>
    <row r="156" spans="1:1" x14ac:dyDescent="0.25">
      <c r="A156" t="str">
        <f>IF('Step 3'!A155=0,"","    units:  KG")</f>
        <v/>
      </c>
    </row>
    <row r="157" spans="1:1" x14ac:dyDescent="0.25">
      <c r="A157" t="str">
        <f>IF('Step 3'!A155=0,"","    notes: ")</f>
        <v/>
      </c>
    </row>
    <row r="159" spans="1:1" x14ac:dyDescent="0.25">
      <c r="A159" t="str">
        <f>IF(OR('Step 3'!A159="0",'Step 3'!A159=""),"",CONCATENATE("  ",'Step 3'!A159,":"))</f>
        <v/>
      </c>
    </row>
    <row r="160" spans="1:1" x14ac:dyDescent="0.25">
      <c r="A160" t="str">
        <f>IF('Step 3'!A160=0,"",CONCATENATE("    amount: ",'Step 3'!A160))</f>
        <v/>
      </c>
    </row>
    <row r="161" spans="1:1" x14ac:dyDescent="0.25">
      <c r="A161" t="str">
        <f>IF('Step 3'!A160=0,"","    units:  KG")</f>
        <v/>
      </c>
    </row>
    <row r="162" spans="1:1" x14ac:dyDescent="0.25">
      <c r="A162" t="str">
        <f>IF('Step 3'!A160=0,"","    notes: ")</f>
        <v/>
      </c>
    </row>
    <row r="164" spans="1:1" x14ac:dyDescent="0.25">
      <c r="A164" t="str">
        <f>IF(OR('Step 3'!A164="0",'Step 3'!A164=""),"",CONCATENATE("  ",'Step 3'!A164,":"))</f>
        <v/>
      </c>
    </row>
    <row r="165" spans="1:1" x14ac:dyDescent="0.25">
      <c r="A165" t="str">
        <f>IF('Step 3'!A165=0,"",CONCATENATE("    amount: ",'Step 3'!A165))</f>
        <v/>
      </c>
    </row>
    <row r="166" spans="1:1" x14ac:dyDescent="0.25">
      <c r="A166" t="str">
        <f>IF('Step 3'!A165=0,"","    units:  KG")</f>
        <v/>
      </c>
    </row>
    <row r="167" spans="1:1" x14ac:dyDescent="0.25">
      <c r="A167" t="str">
        <f>IF('Step 3'!A165=0,"","    notes: ")</f>
        <v/>
      </c>
    </row>
    <row r="169" spans="1:1" x14ac:dyDescent="0.25">
      <c r="A169" t="str">
        <f>IF(OR('Step 3'!A169="0",'Step 3'!A169=""),"",CONCATENATE("  ",'Step 3'!A169,":"))</f>
        <v/>
      </c>
    </row>
    <row r="170" spans="1:1" x14ac:dyDescent="0.25">
      <c r="A170" t="str">
        <f>IF('Step 3'!A170=0,"",CONCATENATE("    amount: ",'Step 3'!A170))</f>
        <v/>
      </c>
    </row>
    <row r="171" spans="1:1" x14ac:dyDescent="0.25">
      <c r="A171" t="str">
        <f>IF('Step 3'!A170=0,"","    units:  KG")</f>
        <v/>
      </c>
    </row>
    <row r="172" spans="1:1" x14ac:dyDescent="0.25">
      <c r="A172" t="str">
        <f>IF('Step 3'!A170=0,"","    notes: ")</f>
        <v/>
      </c>
    </row>
    <row r="174" spans="1:1" x14ac:dyDescent="0.25">
      <c r="A174" t="str">
        <f>IF(OR('Step 3'!A174="0",'Step 3'!A174=""),"",CONCATENATE("  ",'Step 3'!A174,":"))</f>
        <v/>
      </c>
    </row>
    <row r="175" spans="1:1" x14ac:dyDescent="0.25">
      <c r="A175" t="str">
        <f>IF('Step 3'!A175=0,"",CONCATENATE("    amount: ",'Step 3'!A175))</f>
        <v/>
      </c>
    </row>
    <row r="176" spans="1:1" x14ac:dyDescent="0.25">
      <c r="A176" t="str">
        <f>IF('Step 3'!A175=0,"","    units:  KG")</f>
        <v/>
      </c>
    </row>
    <row r="177" spans="1:1" x14ac:dyDescent="0.25">
      <c r="A177" t="str">
        <f>IF('Step 3'!A175=0,"","    notes: ")</f>
        <v/>
      </c>
    </row>
    <row r="179" spans="1:1" x14ac:dyDescent="0.25">
      <c r="A179" t="str">
        <f>IF(OR('Step 3'!A179="0",'Step 3'!A179=""),"",CONCATENATE("  ",'Step 3'!A179,":"))</f>
        <v/>
      </c>
    </row>
    <row r="180" spans="1:1" x14ac:dyDescent="0.25">
      <c r="A180" t="str">
        <f>IF('Step 3'!A180=0,"",CONCATENATE("    amount: ",'Step 3'!A180))</f>
        <v/>
      </c>
    </row>
    <row r="181" spans="1:1" x14ac:dyDescent="0.25">
      <c r="A181" t="str">
        <f>IF('Step 3'!A180=0,"","    units:  KG")</f>
        <v/>
      </c>
    </row>
    <row r="182" spans="1:1" x14ac:dyDescent="0.25">
      <c r="A182" t="str">
        <f>IF('Step 3'!A180=0,"","    notes: ")</f>
        <v/>
      </c>
    </row>
    <row r="184" spans="1:1" x14ac:dyDescent="0.25">
      <c r="A184" t="str">
        <f>IF(OR('Step 3'!A184="0",'Step 3'!A184=""),"",CONCATENATE("  ",'Step 3'!A184,":"))</f>
        <v/>
      </c>
    </row>
    <row r="185" spans="1:1" x14ac:dyDescent="0.25">
      <c r="A185" t="str">
        <f>IF('Step 3'!A185=0,"",CONCATENATE("    amount: ",'Step 3'!A185))</f>
        <v/>
      </c>
    </row>
    <row r="186" spans="1:1" x14ac:dyDescent="0.25">
      <c r="A186" t="str">
        <f>IF('Step 3'!A185=0,"","    units:  KG")</f>
        <v/>
      </c>
    </row>
    <row r="187" spans="1:1" x14ac:dyDescent="0.25">
      <c r="A187" t="str">
        <f>IF('Step 3'!A185=0,"","    notes: ")</f>
        <v/>
      </c>
    </row>
    <row r="189" spans="1:1" x14ac:dyDescent="0.25">
      <c r="A189" t="str">
        <f>IF(OR('Step 3'!A189="0",'Step 3'!A189=""),"",CONCATENATE("  ",'Step 3'!A189,":"))</f>
        <v/>
      </c>
    </row>
    <row r="190" spans="1:1" x14ac:dyDescent="0.25">
      <c r="A190" t="str">
        <f>IF('Step 3'!A190=0,"",CONCATENATE("    amount: ",'Step 3'!A190))</f>
        <v/>
      </c>
    </row>
    <row r="191" spans="1:1" x14ac:dyDescent="0.25">
      <c r="A191" t="str">
        <f>IF('Step 3'!A190=0,"","    units:  KG")</f>
        <v/>
      </c>
    </row>
    <row r="192" spans="1:1" x14ac:dyDescent="0.25">
      <c r="A192" t="str">
        <f>IF('Step 3'!A190=0,"","    notes: ")</f>
        <v/>
      </c>
    </row>
    <row r="194" spans="1:1" x14ac:dyDescent="0.25">
      <c r="A194" t="str">
        <f>IF(OR('Step 3'!A194="0",'Step 3'!A194=""),"",CONCATENATE("  ",'Step 3'!A194,":"))</f>
        <v/>
      </c>
    </row>
    <row r="195" spans="1:1" x14ac:dyDescent="0.25">
      <c r="A195" t="str">
        <f>IF('Step 3'!A195=0,"",CONCATENATE("    amount: ",'Step 3'!A195))</f>
        <v/>
      </c>
    </row>
    <row r="196" spans="1:1" x14ac:dyDescent="0.25">
      <c r="A196" t="str">
        <f>IF('Step 3'!A195=0,"","    units:  KG")</f>
        <v/>
      </c>
    </row>
    <row r="197" spans="1:1" x14ac:dyDescent="0.25">
      <c r="A197" t="str">
        <f>IF('Step 3'!A195=0,"","    notes: ")</f>
        <v/>
      </c>
    </row>
    <row r="199" spans="1:1" x14ac:dyDescent="0.25">
      <c r="A199" t="str">
        <f>IF(OR('Step 3'!A199="0",'Step 3'!A199=""),"",CONCATENATE("  ",'Step 3'!A199,":"))</f>
        <v/>
      </c>
    </row>
    <row r="200" spans="1:1" x14ac:dyDescent="0.25">
      <c r="A200" t="str">
        <f>IF('Step 3'!A200=0,"",CONCATENATE("    amount: ",'Step 3'!A200))</f>
        <v/>
      </c>
    </row>
    <row r="201" spans="1:1" x14ac:dyDescent="0.25">
      <c r="A201" t="str">
        <f>IF('Step 3'!A200=0,"","    units:  KG")</f>
        <v/>
      </c>
    </row>
    <row r="202" spans="1:1" x14ac:dyDescent="0.25">
      <c r="A202" t="str">
        <f>IF('Step 3'!A200=0,"","    notes: ")</f>
        <v/>
      </c>
    </row>
    <row r="204" spans="1:1" x14ac:dyDescent="0.25">
      <c r="A204" t="str">
        <f>IF(OR('Step 3'!A204="0",'Step 3'!A204=""),"",CONCATENATE("  ",'Step 3'!A204,":"))</f>
        <v/>
      </c>
    </row>
    <row r="205" spans="1:1" x14ac:dyDescent="0.25">
      <c r="A205" t="str">
        <f>IF('Step 3'!A205=0,"",CONCATENATE("    amount: ",'Step 3'!A205))</f>
        <v/>
      </c>
    </row>
    <row r="206" spans="1:1" x14ac:dyDescent="0.25">
      <c r="A206" t="str">
        <f>IF('Step 3'!A205=0,"","    units:  KG")</f>
        <v/>
      </c>
    </row>
    <row r="207" spans="1:1" x14ac:dyDescent="0.25">
      <c r="A207" t="str">
        <f>IF('Step 3'!A205=0,"","    notes: ")</f>
        <v/>
      </c>
    </row>
    <row r="209" spans="1:1" x14ac:dyDescent="0.25">
      <c r="A209" t="str">
        <f>IF(OR('Step 3'!A209="0",'Step 3'!A209=""),"",CONCATENATE("  ",'Step 3'!A209,":"))</f>
        <v/>
      </c>
    </row>
    <row r="210" spans="1:1" x14ac:dyDescent="0.25">
      <c r="A210" t="str">
        <f>IF('Step 3'!A210=0,"",CONCATENATE("    amount: ",'Step 3'!A210))</f>
        <v/>
      </c>
    </row>
    <row r="211" spans="1:1" x14ac:dyDescent="0.25">
      <c r="A211" t="str">
        <f>IF('Step 3'!A210=0,"","    units:  KG")</f>
        <v/>
      </c>
    </row>
    <row r="212" spans="1:1" x14ac:dyDescent="0.25">
      <c r="A212" t="str">
        <f>IF('Step 3'!A210=0,"","    notes: ")</f>
        <v/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1">
          <controlPr autoLine="0" r:id="rId4">
            <anchor moveWithCells="1">
              <from>
                <xdr:col>1</xdr:col>
                <xdr:colOff>457200</xdr:colOff>
                <xdr:row>30</xdr:row>
                <xdr:rowOff>0</xdr:rowOff>
              </from>
              <to>
                <xdr:col>3</xdr:col>
                <xdr:colOff>152400</xdr:colOff>
                <xdr:row>31</xdr:row>
                <xdr:rowOff>114300</xdr:rowOff>
              </to>
            </anchor>
          </controlPr>
        </control>
      </mc:Choice>
      <mc:Fallback>
        <control shapeId="2051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4"/>
  <sheetViews>
    <sheetView workbookViewId="0">
      <selection activeCell="A3" sqref="A3"/>
    </sheetView>
  </sheetViews>
  <sheetFormatPr defaultRowHeight="15" x14ac:dyDescent="0.25"/>
  <sheetData>
    <row r="1" spans="1:2" x14ac:dyDescent="0.25">
      <c r="A1" t="str">
        <f>UPPER(Paste!A1)</f>
        <v>WOODBERRY FLAVOR</v>
      </c>
    </row>
    <row r="2" spans="1:2" x14ac:dyDescent="0.25">
      <c r="A2" t="str">
        <f>IF(LEFT(Paste!A2,11)="Application",Paste!A2,"")</f>
        <v/>
      </c>
    </row>
    <row r="3" spans="1:2" x14ac:dyDescent="0.25">
      <c r="A3" t="str">
        <f>IF(LEFT(Paste!$A$2,11)="Application",Paste!A3,Paste!A2)</f>
        <v>Patent 7,105,194 Organoleptic compositions: use of 3-mercapto alkanoic acid esters as flavor ingredients</v>
      </c>
    </row>
    <row r="4" spans="1:2" x14ac:dyDescent="0.25">
      <c r="A4" t="str">
        <f>IF(LEFT(Paste!$A$2,11)="Application",Paste!A4,Paste!A3)</f>
        <v>For Flavor Use</v>
      </c>
    </row>
    <row r="5" spans="1:2" x14ac:dyDescent="0.25">
      <c r="A5">
        <f>IF(LEFT(Paste!$A$2,11)="Application",Paste!A5,Paste!A4)</f>
        <v>0.5</v>
      </c>
      <c r="B5" t="str">
        <f>IF(LEFT(Paste!$A$2,11)="Application",Paste!B5,Paste!B4)</f>
        <v>benzyl acetate</v>
      </c>
    </row>
    <row r="6" spans="1:2" x14ac:dyDescent="0.25">
      <c r="A6">
        <f>IF(LEFT(Paste!$A$2,11)="Application",Paste!A6,Paste!A5)</f>
        <v>4</v>
      </c>
      <c r="B6" t="str">
        <f>IF(LEFT(Paste!$A$2,11)="Application",Paste!B6,Paste!B5)</f>
        <v>ethyl acetate</v>
      </c>
    </row>
    <row r="7" spans="1:2" x14ac:dyDescent="0.25">
      <c r="A7">
        <f>IF(LEFT(Paste!$A$2,11)="Application",Paste!A7,Paste!A6)</f>
        <v>1.5</v>
      </c>
      <c r="B7" t="str">
        <f>IF(LEFT(Paste!$A$2,11)="Application",Paste!B7,Paste!B6)</f>
        <v>ethyl isovalerate</v>
      </c>
    </row>
    <row r="8" spans="1:2" x14ac:dyDescent="0.25">
      <c r="A8">
        <f>IF(LEFT(Paste!$A$2,11)="Application",Paste!A8,Paste!A7)</f>
        <v>0.1</v>
      </c>
      <c r="B8" t="str">
        <f>IF(LEFT(Paste!$A$2,11)="Application",Paste!B8,Paste!B7)</f>
        <v>cis-3-hexenol</v>
      </c>
    </row>
    <row r="9" spans="1:2" x14ac:dyDescent="0.25">
      <c r="A9">
        <f>IF(LEFT(Paste!$A$2,11)="Application",Paste!A9,Paste!A8)</f>
        <v>0.2</v>
      </c>
      <c r="B9" t="str">
        <f>IF(LEFT(Paste!$A$2,11)="Application",Paste!B9,Paste!B8)</f>
        <v>alpha-ionone</v>
      </c>
    </row>
    <row r="10" spans="1:2" x14ac:dyDescent="0.25">
      <c r="A10">
        <f>IF(LEFT(Paste!$A$2,11)="Application",Paste!A10,Paste!A9)</f>
        <v>0.5</v>
      </c>
      <c r="B10" t="str">
        <f>IF(LEFT(Paste!$A$2,11)="Application",Paste!B10,Paste!B9)</f>
        <v>linalool</v>
      </c>
    </row>
    <row r="11" spans="1:2" x14ac:dyDescent="0.25">
      <c r="A11">
        <f>IF(LEFT(Paste!$A$2,11)="Application",Paste!A11,Paste!A10)</f>
        <v>0.3</v>
      </c>
      <c r="B11" t="str">
        <f>IF(LEFT(Paste!$A$2,11)="Application",Paste!B11,Paste!B10)</f>
        <v>isoamyl isovalerate</v>
      </c>
    </row>
    <row r="12" spans="1:2" x14ac:dyDescent="0.25">
      <c r="A12">
        <f>IF(LEFT(Paste!$A$2,11)="Application",Paste!A12,Paste!A11)</f>
        <v>2</v>
      </c>
      <c r="B12" t="str">
        <f>IF(LEFT(Paste!$A$2,11)="Application",Paste!B12,Paste!B11)</f>
        <v>raspberry ketone</v>
      </c>
    </row>
    <row r="13" spans="1:2" x14ac:dyDescent="0.25">
      <c r="A13">
        <f>IF(LEFT(Paste!$A$2,11)="Application",Paste!A13,Paste!A12)</f>
        <v>0.4</v>
      </c>
      <c r="B13" t="str">
        <f>IF(LEFT(Paste!$A$2,11)="Application",Paste!B13,Paste!B12)</f>
        <v>omega-pentadecalactone</v>
      </c>
    </row>
    <row r="14" spans="1:2" x14ac:dyDescent="0.25">
      <c r="A14">
        <f>IF(LEFT(Paste!$A$2,11)="Application",Paste!A14,Paste!A13)</f>
        <v>0.5</v>
      </c>
      <c r="B14" t="str">
        <f>IF(LEFT(Paste!$A$2,11)="Application",Paste!B14,Paste!B13)</f>
        <v>vanillin</v>
      </c>
    </row>
    <row r="15" spans="1:2" x14ac:dyDescent="0.25">
      <c r="A15">
        <f>IF(LEFT(Paste!$A$2,11)="Application",Paste!A15,Paste!A14)</f>
        <v>90</v>
      </c>
      <c r="B15" t="str">
        <f>IF(LEFT(Paste!$A$2,11)="Application",Paste!B15,Paste!B14)</f>
        <v>propylene glycol</v>
      </c>
    </row>
    <row r="16" spans="1:2" x14ac:dyDescent="0.25">
      <c r="A16">
        <f>IF(LEFT(Paste!$A$2,11)="Application",Paste!A16,Paste!A15)</f>
        <v>0</v>
      </c>
      <c r="B16">
        <f>IF(LEFT(Paste!$A$2,11)="Application",Paste!B16,Paste!B15)</f>
        <v>0</v>
      </c>
    </row>
    <row r="17" spans="1:2" x14ac:dyDescent="0.25">
      <c r="A17">
        <f>IF(LEFT(Paste!$A$2,11)="Application",Paste!A17,Paste!A16)</f>
        <v>0</v>
      </c>
      <c r="B17">
        <f>IF(LEFT(Paste!$A$2,11)="Application",Paste!B17,Paste!B16)</f>
        <v>0</v>
      </c>
    </row>
    <row r="18" spans="1:2" x14ac:dyDescent="0.25">
      <c r="A18">
        <f>IF(LEFT(Paste!$A$2,11)="Application",Paste!A18,Paste!A17)</f>
        <v>0</v>
      </c>
      <c r="B18">
        <f>IF(LEFT(Paste!$A$2,11)="Application",Paste!B18,Paste!B17)</f>
        <v>0</v>
      </c>
    </row>
    <row r="19" spans="1:2" x14ac:dyDescent="0.25">
      <c r="A19">
        <f>IF(LEFT(Paste!$A$2,11)="Application",Paste!A19,Paste!A18)</f>
        <v>0</v>
      </c>
      <c r="B19">
        <f>IF(LEFT(Paste!$A$2,11)="Application",Paste!B19,Paste!B18)</f>
        <v>0</v>
      </c>
    </row>
    <row r="20" spans="1:2" x14ac:dyDescent="0.25">
      <c r="A20">
        <f>IF(LEFT(Paste!$A$2,11)="Application",Paste!A20,Paste!A19)</f>
        <v>0</v>
      </c>
      <c r="B20">
        <f>IF(LEFT(Paste!$A$2,11)="Application",Paste!B20,Paste!B19)</f>
        <v>0</v>
      </c>
    </row>
    <row r="21" spans="1:2" x14ac:dyDescent="0.25">
      <c r="A21">
        <f>IF(LEFT(Paste!$A$2,11)="Application",Paste!A21,Paste!A20)</f>
        <v>0</v>
      </c>
      <c r="B21">
        <f>IF(LEFT(Paste!$A$2,11)="Application",Paste!B21,Paste!B20)</f>
        <v>0</v>
      </c>
    </row>
    <row r="22" spans="1:2" x14ac:dyDescent="0.25">
      <c r="A22">
        <f>IF(LEFT(Paste!$A$2,11)="Application",Paste!A22,Paste!A21)</f>
        <v>0</v>
      </c>
      <c r="B22">
        <f>IF(LEFT(Paste!$A$2,11)="Application",Paste!B22,Paste!B21)</f>
        <v>0</v>
      </c>
    </row>
    <row r="23" spans="1:2" x14ac:dyDescent="0.25">
      <c r="A23">
        <f>IF(LEFT(Paste!$A$2,11)="Application",Paste!A23,Paste!A22)</f>
        <v>0</v>
      </c>
      <c r="B23">
        <f>IF(LEFT(Paste!$A$2,11)="Application",Paste!B23,Paste!B22)</f>
        <v>0</v>
      </c>
    </row>
    <row r="24" spans="1:2" x14ac:dyDescent="0.25">
      <c r="A24">
        <f>IF(LEFT(Paste!$A$2,11)="Application",Paste!A24,Paste!A23)</f>
        <v>0</v>
      </c>
      <c r="B24">
        <f>IF(LEFT(Paste!$A$2,11)="Application",Paste!B24,Paste!B23)</f>
        <v>0</v>
      </c>
    </row>
    <row r="25" spans="1:2" x14ac:dyDescent="0.25">
      <c r="A25">
        <f>IF(LEFT(Paste!$A$2,11)="Application",Paste!A25,Paste!A24)</f>
        <v>0</v>
      </c>
      <c r="B25">
        <f>IF(LEFT(Paste!$A$2,11)="Application",Paste!B25,Paste!B24)</f>
        <v>0</v>
      </c>
    </row>
    <row r="26" spans="1:2" x14ac:dyDescent="0.25">
      <c r="A26">
        <f>IF(LEFT(Paste!$A$2,11)="Application",Paste!A26,Paste!A25)</f>
        <v>0</v>
      </c>
      <c r="B26">
        <f>IF(LEFT(Paste!$A$2,11)="Application",Paste!B26,Paste!B25)</f>
        <v>0</v>
      </c>
    </row>
    <row r="27" spans="1:2" x14ac:dyDescent="0.25">
      <c r="A27">
        <f>IF(LEFT(Paste!$A$2,11)="Application",Paste!A27,Paste!A26)</f>
        <v>0</v>
      </c>
      <c r="B27">
        <f>IF(LEFT(Paste!$A$2,11)="Application",Paste!B27,Paste!B26)</f>
        <v>0</v>
      </c>
    </row>
    <row r="28" spans="1:2" x14ac:dyDescent="0.25">
      <c r="A28">
        <f>IF(LEFT(Paste!$A$2,11)="Application",Paste!A28,Paste!A27)</f>
        <v>0</v>
      </c>
      <c r="B28">
        <f>IF(LEFT(Paste!$A$2,11)="Application",Paste!B28,Paste!B27)</f>
        <v>0</v>
      </c>
    </row>
    <row r="29" spans="1:2" x14ac:dyDescent="0.25">
      <c r="A29">
        <f>IF(LEFT(Paste!$A$2,11)="Application",Paste!A29,Paste!A28)</f>
        <v>0</v>
      </c>
      <c r="B29">
        <f>IF(LEFT(Paste!$A$2,11)="Application",Paste!B29,Paste!B28)</f>
        <v>0</v>
      </c>
    </row>
    <row r="30" spans="1:2" x14ac:dyDescent="0.25">
      <c r="A30">
        <f>IF(LEFT(Paste!$A$2,11)="Application",Paste!A30,Paste!A29)</f>
        <v>0</v>
      </c>
      <c r="B30">
        <f>IF(LEFT(Paste!$A$2,11)="Application",Paste!B30,Paste!B29)</f>
        <v>0</v>
      </c>
    </row>
    <row r="31" spans="1:2" x14ac:dyDescent="0.25">
      <c r="A31">
        <f>IF(LEFT(Paste!$A$2,11)="Application",Paste!A31,Paste!A30)</f>
        <v>0</v>
      </c>
      <c r="B31">
        <f>IF(LEFT(Paste!$A$2,11)="Application",Paste!B31,Paste!B30)</f>
        <v>0</v>
      </c>
    </row>
    <row r="32" spans="1:2" x14ac:dyDescent="0.25">
      <c r="A32">
        <f>IF(LEFT(Paste!$A$2,11)="Application",Paste!A32,Paste!A31)</f>
        <v>0</v>
      </c>
      <c r="B32">
        <f>IF(LEFT(Paste!$A$2,11)="Application",Paste!B32,Paste!B31)</f>
        <v>0</v>
      </c>
    </row>
    <row r="33" spans="1:2" x14ac:dyDescent="0.25">
      <c r="A33">
        <f>IF(LEFT(Paste!$A$2,11)="Application",Paste!A33,Paste!A32)</f>
        <v>0</v>
      </c>
      <c r="B33">
        <f>IF(LEFT(Paste!$A$2,11)="Application",Paste!B33,Paste!B32)</f>
        <v>0</v>
      </c>
    </row>
    <row r="34" spans="1:2" x14ac:dyDescent="0.25">
      <c r="A34">
        <f>IF(LEFT(Paste!$A$2,11)="Application",Paste!A34,Paste!A33)</f>
        <v>0</v>
      </c>
      <c r="B34">
        <f>IF(LEFT(Paste!$A$2,11)="Application",Paste!B34,Paste!B33)</f>
        <v>0</v>
      </c>
    </row>
    <row r="35" spans="1:2" x14ac:dyDescent="0.25">
      <c r="A35">
        <f>IF(LEFT(Paste!$A$2,11)="Application",Paste!A35,Paste!A34)</f>
        <v>0</v>
      </c>
      <c r="B35">
        <f>IF(LEFT(Paste!$A$2,11)="Application",Paste!B35,Paste!B34)</f>
        <v>0</v>
      </c>
    </row>
    <row r="36" spans="1:2" x14ac:dyDescent="0.25">
      <c r="A36">
        <f>IF(LEFT(Paste!$A$2,11)="Application",Paste!A36,Paste!A35)</f>
        <v>0</v>
      </c>
      <c r="B36">
        <f>IF(LEFT(Paste!$A$2,11)="Application",Paste!B36,Paste!B35)</f>
        <v>0</v>
      </c>
    </row>
    <row r="37" spans="1:2" x14ac:dyDescent="0.25">
      <c r="A37">
        <f>IF(LEFT(Paste!$A$2,11)="Application",Paste!A37,Paste!A36)</f>
        <v>0</v>
      </c>
      <c r="B37">
        <f>IF(LEFT(Paste!$A$2,11)="Application",Paste!B37,Paste!B36)</f>
        <v>0</v>
      </c>
    </row>
    <row r="38" spans="1:2" x14ac:dyDescent="0.25">
      <c r="A38">
        <f>IF(LEFT(Paste!$A$2,11)="Application",Paste!A38,Paste!A37)</f>
        <v>0</v>
      </c>
      <c r="B38">
        <f>IF(LEFT(Paste!$A$2,11)="Application",Paste!B38,Paste!B37)</f>
        <v>0</v>
      </c>
    </row>
    <row r="39" spans="1:2" x14ac:dyDescent="0.25">
      <c r="A39">
        <f>IF(LEFT(Paste!$A$2,11)="Application",Paste!A39,Paste!A38)</f>
        <v>0</v>
      </c>
      <c r="B39">
        <f>IF(LEFT(Paste!$A$2,11)="Application",Paste!B39,Paste!B38)</f>
        <v>0</v>
      </c>
    </row>
    <row r="40" spans="1:2" x14ac:dyDescent="0.25">
      <c r="A40">
        <f>IF(LEFT(Paste!$A$2,11)="Application",Paste!A40,Paste!A39)</f>
        <v>0</v>
      </c>
      <c r="B40">
        <f>IF(LEFT(Paste!$A$2,11)="Application",Paste!B40,Paste!B39)</f>
        <v>0</v>
      </c>
    </row>
    <row r="41" spans="1:2" x14ac:dyDescent="0.25">
      <c r="A41">
        <f>IF(LEFT(Paste!$A$2,11)="Application",Paste!A41,Paste!A40)</f>
        <v>0</v>
      </c>
      <c r="B41">
        <f>IF(LEFT(Paste!$A$2,11)="Application",Paste!B41,Paste!B40)</f>
        <v>0</v>
      </c>
    </row>
    <row r="42" spans="1:2" x14ac:dyDescent="0.25">
      <c r="A42">
        <f>IF(LEFT(Paste!$A$2,11)="Application",Paste!A42,Paste!A41)</f>
        <v>0</v>
      </c>
      <c r="B42">
        <f>IF(LEFT(Paste!$A$2,11)="Application",Paste!B42,Paste!B41)</f>
        <v>0</v>
      </c>
    </row>
    <row r="43" spans="1:2" x14ac:dyDescent="0.25">
      <c r="A43">
        <f>IF(LEFT(Paste!$A$2,11)="Application",Paste!A43,Paste!A42)</f>
        <v>0</v>
      </c>
      <c r="B43">
        <f>IF(LEFT(Paste!$A$2,11)="Application",Paste!B43,Paste!B42)</f>
        <v>0</v>
      </c>
    </row>
    <row r="44" spans="1:2" x14ac:dyDescent="0.25">
      <c r="A44">
        <f>IF(LEFT(Paste!$A$2,11)="Application",Paste!A44,Paste!A43)</f>
        <v>0</v>
      </c>
      <c r="B44">
        <f>IF(LEFT(Paste!$A$2,11)="Application",Paste!B44,Paste!B43)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53"/>
  <sheetViews>
    <sheetView topLeftCell="A20" workbookViewId="0">
      <selection activeCell="B53" sqref="B53"/>
    </sheetView>
  </sheetViews>
  <sheetFormatPr defaultRowHeight="15" x14ac:dyDescent="0.25"/>
  <cols>
    <col min="1" max="1" width="23.140625" customWidth="1"/>
  </cols>
  <sheetData>
    <row r="1" spans="1:4" x14ac:dyDescent="0.25">
      <c r="A1" t="str">
        <f>CONCATENATE("flavor_name: ",'Step 1'!A1)</f>
        <v>flavor_name: WOODBERRY FLAVOR</v>
      </c>
    </row>
    <row r="2" spans="1:4" x14ac:dyDescent="0.25">
      <c r="A2" t="s">
        <v>1</v>
      </c>
    </row>
    <row r="3" spans="1:4" x14ac:dyDescent="0.25">
      <c r="A3" t="s">
        <v>2</v>
      </c>
    </row>
    <row r="4" spans="1:4" x14ac:dyDescent="0.25">
      <c r="A4" t="s">
        <v>3</v>
      </c>
    </row>
    <row r="5" spans="1:4" x14ac:dyDescent="0.25">
      <c r="A5" t="s">
        <v>4</v>
      </c>
    </row>
    <row r="6" spans="1:4" x14ac:dyDescent="0.25">
      <c r="A6" t="str">
        <f>CONCATENATE("  amount: ",SUM('Step 1'!A:A))</f>
        <v xml:space="preserve">  amount: 100</v>
      </c>
    </row>
    <row r="7" spans="1:4" x14ac:dyDescent="0.25">
      <c r="A7" t="s">
        <v>5</v>
      </c>
    </row>
    <row r="8" spans="1:4" x14ac:dyDescent="0.25">
      <c r="A8" t="str">
        <f>IF(LEFT('Step 1'!A2,11)="Application",'Step 1'!A2,"")</f>
        <v/>
      </c>
    </row>
    <row r="10" spans="1:4" x14ac:dyDescent="0.25">
      <c r="A10" t="str">
        <f>CONCATENATE("info: ",IF(LEFT('Step 1'!A3,11)="Application",'Step 1'!A4,'Step 1'!A3))</f>
        <v>info: Patent 7,105,194 Organoleptic compositions: use of 3-mercapto alkanoic acid esters as flavor ingredients</v>
      </c>
    </row>
    <row r="12" spans="1:4" x14ac:dyDescent="0.25">
      <c r="A12" t="s">
        <v>6</v>
      </c>
    </row>
    <row r="14" spans="1:4" x14ac:dyDescent="0.25">
      <c r="A14" t="str">
        <f>UPPER(IF(LEFT('Step 1'!$A$3,11)="Application",'Step 1'!B6,'Step 1'!B5))</f>
        <v>BENZYL ACETATE</v>
      </c>
      <c r="B14">
        <f>IF(LEFT('Step 1'!$A$3,11)="Application",'Step 1'!A6,'Step 1'!A5)</f>
        <v>0.5</v>
      </c>
      <c r="D14" t="s">
        <v>7</v>
      </c>
    </row>
    <row r="15" spans="1:4" x14ac:dyDescent="0.25">
      <c r="A15" t="str">
        <f>UPPER(IF(LEFT('Step 1'!$A$3,11)="Application",'Step 1'!B7,'Step 1'!B6))</f>
        <v>ETHYL ACETATE</v>
      </c>
      <c r="B15">
        <f>IF(LEFT('Step 1'!$A$3,11)="Application",'Step 1'!A7,'Step 1'!A6)</f>
        <v>4</v>
      </c>
      <c r="D15" t="s">
        <v>8</v>
      </c>
    </row>
    <row r="16" spans="1:4" x14ac:dyDescent="0.25">
      <c r="A16" t="str">
        <f>UPPER(IF(LEFT('Step 1'!$A$3,11)="Application",'Step 1'!B8,'Step 1'!B7))</f>
        <v>ETHYL ISOVALERATE</v>
      </c>
      <c r="B16">
        <f>IF(LEFT('Step 1'!$A$3,11)="Application",'Step 1'!A8,'Step 1'!A7)</f>
        <v>1.5</v>
      </c>
    </row>
    <row r="17" spans="1:2" x14ac:dyDescent="0.25">
      <c r="A17" t="str">
        <f>UPPER(IF(LEFT('Step 1'!$A$3,11)="Application",'Step 1'!B9,'Step 1'!B8))</f>
        <v>CIS-3-HEXENOL</v>
      </c>
      <c r="B17">
        <f>IF(LEFT('Step 1'!$A$3,11)="Application",'Step 1'!A9,'Step 1'!A8)</f>
        <v>0.1</v>
      </c>
    </row>
    <row r="18" spans="1:2" x14ac:dyDescent="0.25">
      <c r="A18" t="str">
        <f>UPPER(IF(LEFT('Step 1'!$A$3,11)="Application",'Step 1'!B10,'Step 1'!B9))</f>
        <v>ALPHA-IONONE</v>
      </c>
      <c r="B18">
        <f>IF(LEFT('Step 1'!$A$3,11)="Application",'Step 1'!A10,'Step 1'!A9)</f>
        <v>0.2</v>
      </c>
    </row>
    <row r="19" spans="1:2" x14ac:dyDescent="0.25">
      <c r="A19" t="str">
        <f>UPPER(IF(LEFT('Step 1'!$A$3,11)="Application",'Step 1'!B11,'Step 1'!B10))</f>
        <v>LINALOOL</v>
      </c>
      <c r="B19">
        <f>IF(LEFT('Step 1'!$A$3,11)="Application",'Step 1'!A11,'Step 1'!A10)</f>
        <v>0.5</v>
      </c>
    </row>
    <row r="20" spans="1:2" x14ac:dyDescent="0.25">
      <c r="A20" t="str">
        <f>UPPER(IF(LEFT('Step 1'!$A$3,11)="Application",'Step 1'!B12,'Step 1'!B11))</f>
        <v>ISOAMYL ISOVALERATE</v>
      </c>
      <c r="B20">
        <f>IF(LEFT('Step 1'!$A$3,11)="Application",'Step 1'!A12,'Step 1'!A11)</f>
        <v>0.3</v>
      </c>
    </row>
    <row r="21" spans="1:2" x14ac:dyDescent="0.25">
      <c r="A21" t="str">
        <f>UPPER(IF(LEFT('Step 1'!$A$3,11)="Application",'Step 1'!B13,'Step 1'!B12))</f>
        <v>RASPBERRY KETONE</v>
      </c>
      <c r="B21">
        <f>IF(LEFT('Step 1'!$A$3,11)="Application",'Step 1'!A13,'Step 1'!A12)</f>
        <v>2</v>
      </c>
    </row>
    <row r="22" spans="1:2" x14ac:dyDescent="0.25">
      <c r="A22" t="str">
        <f>UPPER(IF(LEFT('Step 1'!$A$3,11)="Application",'Step 1'!B14,'Step 1'!B13))</f>
        <v>OMEGA-PENTADECALACTONE</v>
      </c>
      <c r="B22">
        <f>IF(LEFT('Step 1'!$A$3,11)="Application",'Step 1'!A14,'Step 1'!A13)</f>
        <v>0.4</v>
      </c>
    </row>
    <row r="23" spans="1:2" x14ac:dyDescent="0.25">
      <c r="A23" t="str">
        <f>UPPER(IF(LEFT('Step 1'!$A$3,11)="Application",'Step 1'!B15,'Step 1'!B14))</f>
        <v>VANILLIN</v>
      </c>
      <c r="B23">
        <f>IF(LEFT('Step 1'!$A$3,11)="Application",'Step 1'!A15,'Step 1'!A14)</f>
        <v>0.5</v>
      </c>
    </row>
    <row r="24" spans="1:2" x14ac:dyDescent="0.25">
      <c r="A24" t="str">
        <f>UPPER(IF(LEFT('Step 1'!$A$3,11)="Application",'Step 1'!B16,'Step 1'!B15))</f>
        <v>PROPYLENE GLYCOL</v>
      </c>
      <c r="B24">
        <f>IF(LEFT('Step 1'!$A$3,11)="Application",'Step 1'!A16,'Step 1'!A15)</f>
        <v>90</v>
      </c>
    </row>
    <row r="25" spans="1:2" x14ac:dyDescent="0.25">
      <c r="A25" t="str">
        <f>UPPER(IF(LEFT('Step 1'!$A$3,11)="Application",'Step 1'!B17,'Step 1'!B16))</f>
        <v>0</v>
      </c>
      <c r="B25">
        <f>IF(LEFT('Step 1'!$A$3,11)="Application",'Step 1'!A17,'Step 1'!A16)</f>
        <v>0</v>
      </c>
    </row>
    <row r="26" spans="1:2" x14ac:dyDescent="0.25">
      <c r="A26" t="str">
        <f>UPPER(IF(LEFT('Step 1'!$A$3,11)="Application",'Step 1'!B18,'Step 1'!B17))</f>
        <v>0</v>
      </c>
      <c r="B26">
        <f>IF(LEFT('Step 1'!$A$3,11)="Application",'Step 1'!A18,'Step 1'!A17)</f>
        <v>0</v>
      </c>
    </row>
    <row r="27" spans="1:2" x14ac:dyDescent="0.25">
      <c r="A27" t="str">
        <f>UPPER(IF(LEFT('Step 1'!$A$3,11)="Application",'Step 1'!B19,'Step 1'!B18))</f>
        <v>0</v>
      </c>
      <c r="B27">
        <f>IF(LEFT('Step 1'!$A$3,11)="Application",'Step 1'!A19,'Step 1'!A18)</f>
        <v>0</v>
      </c>
    </row>
    <row r="28" spans="1:2" x14ac:dyDescent="0.25">
      <c r="A28" t="str">
        <f>UPPER(IF(LEFT('Step 1'!$A$3,11)="Application",'Step 1'!B20,'Step 1'!B19))</f>
        <v>0</v>
      </c>
      <c r="B28">
        <f>IF(LEFT('Step 1'!$A$3,11)="Application",'Step 1'!A20,'Step 1'!A19)</f>
        <v>0</v>
      </c>
    </row>
    <row r="29" spans="1:2" x14ac:dyDescent="0.25">
      <c r="A29" t="str">
        <f>UPPER(IF(LEFT('Step 1'!$A$3,11)="Application",'Step 1'!B21,'Step 1'!B20))</f>
        <v>0</v>
      </c>
      <c r="B29">
        <f>IF(LEFT('Step 1'!$A$3,11)="Application",'Step 1'!A21,'Step 1'!A20)</f>
        <v>0</v>
      </c>
    </row>
    <row r="30" spans="1:2" x14ac:dyDescent="0.25">
      <c r="A30" t="str">
        <f>UPPER(IF(LEFT('Step 1'!$A$3,11)="Application",'Step 1'!B22,'Step 1'!B21))</f>
        <v>0</v>
      </c>
      <c r="B30">
        <f>IF(LEFT('Step 1'!$A$3,11)="Application",'Step 1'!A22,'Step 1'!A21)</f>
        <v>0</v>
      </c>
    </row>
    <row r="31" spans="1:2" x14ac:dyDescent="0.25">
      <c r="A31" t="str">
        <f>UPPER(IF(LEFT('Step 1'!$A$3,11)="Application",'Step 1'!B23,'Step 1'!B22))</f>
        <v>0</v>
      </c>
      <c r="B31">
        <f>IF(LEFT('Step 1'!$A$3,11)="Application",'Step 1'!A23,'Step 1'!A22)</f>
        <v>0</v>
      </c>
    </row>
    <row r="32" spans="1:2" x14ac:dyDescent="0.25">
      <c r="A32" t="str">
        <f>UPPER(IF(LEFT('Step 1'!$A$3,11)="Application",'Step 1'!B24,'Step 1'!B23))</f>
        <v>0</v>
      </c>
      <c r="B32">
        <f>IF(LEFT('Step 1'!$A$3,11)="Application",'Step 1'!A24,'Step 1'!A23)</f>
        <v>0</v>
      </c>
    </row>
    <row r="33" spans="1:2" x14ac:dyDescent="0.25">
      <c r="A33" t="str">
        <f>UPPER(IF(LEFT('Step 1'!$A$3,11)="Application",'Step 1'!B25,'Step 1'!B24))</f>
        <v>0</v>
      </c>
      <c r="B33">
        <f>IF(LEFT('Step 1'!$A$3,11)="Application",'Step 1'!A25,'Step 1'!A24)</f>
        <v>0</v>
      </c>
    </row>
    <row r="34" spans="1:2" x14ac:dyDescent="0.25">
      <c r="A34" t="str">
        <f>UPPER(IF(LEFT('Step 1'!$A$3,11)="Application",'Step 1'!B26,'Step 1'!B25))</f>
        <v>0</v>
      </c>
      <c r="B34">
        <f>IF(LEFT('Step 1'!$A$3,11)="Application",'Step 1'!A26,'Step 1'!A25)</f>
        <v>0</v>
      </c>
    </row>
    <row r="35" spans="1:2" x14ac:dyDescent="0.25">
      <c r="A35" t="str">
        <f>UPPER(IF(LEFT('Step 1'!$A$3,11)="Application",'Step 1'!B27,'Step 1'!B26))</f>
        <v>0</v>
      </c>
      <c r="B35">
        <f>IF(LEFT('Step 1'!$A$3,11)="Application",'Step 1'!A27,'Step 1'!A26)</f>
        <v>0</v>
      </c>
    </row>
    <row r="36" spans="1:2" x14ac:dyDescent="0.25">
      <c r="A36" t="str">
        <f>UPPER(IF(LEFT('Step 1'!$A$3,11)="Application",'Step 1'!B28,'Step 1'!B27))</f>
        <v>0</v>
      </c>
      <c r="B36">
        <f>IF(LEFT('Step 1'!$A$3,11)="Application",'Step 1'!A28,'Step 1'!A27)</f>
        <v>0</v>
      </c>
    </row>
    <row r="37" spans="1:2" x14ac:dyDescent="0.25">
      <c r="A37" t="str">
        <f>UPPER(IF(LEFT('Step 1'!$A$3,11)="Application",'Step 1'!B29,'Step 1'!B28))</f>
        <v>0</v>
      </c>
      <c r="B37">
        <f>IF(LEFT('Step 1'!$A$3,11)="Application",'Step 1'!A29,'Step 1'!A28)</f>
        <v>0</v>
      </c>
    </row>
    <row r="38" spans="1:2" x14ac:dyDescent="0.25">
      <c r="A38" t="str">
        <f>UPPER(IF(LEFT('Step 1'!$A$3,11)="Application",'Step 1'!B30,'Step 1'!B29))</f>
        <v>0</v>
      </c>
      <c r="B38">
        <f>IF(LEFT('Step 1'!$A$3,11)="Application",'Step 1'!A30,'Step 1'!A29)</f>
        <v>0</v>
      </c>
    </row>
    <row r="39" spans="1:2" x14ac:dyDescent="0.25">
      <c r="A39" t="str">
        <f>UPPER(IF(LEFT('Step 1'!$A$3,11)="Application",'Step 1'!B31,'Step 1'!B30))</f>
        <v>0</v>
      </c>
      <c r="B39">
        <f>IF(LEFT('Step 1'!$A$3,11)="Application",'Step 1'!A31,'Step 1'!A30)</f>
        <v>0</v>
      </c>
    </row>
    <row r="40" spans="1:2" x14ac:dyDescent="0.25">
      <c r="A40" t="str">
        <f>UPPER(IF(LEFT('Step 1'!$A$3,11)="Application",'Step 1'!B32,'Step 1'!B31))</f>
        <v>0</v>
      </c>
      <c r="B40">
        <f>IF(LEFT('Step 1'!$A$3,11)="Application",'Step 1'!A32,'Step 1'!A31)</f>
        <v>0</v>
      </c>
    </row>
    <row r="41" spans="1:2" x14ac:dyDescent="0.25">
      <c r="A41" t="str">
        <f>UPPER(IF(LEFT('Step 1'!$A$3,11)="Application",'Step 1'!B33,'Step 1'!B32))</f>
        <v>0</v>
      </c>
      <c r="B41">
        <f>IF(LEFT('Step 1'!$A$3,11)="Application",'Step 1'!A33,'Step 1'!A32)</f>
        <v>0</v>
      </c>
    </row>
    <row r="42" spans="1:2" x14ac:dyDescent="0.25">
      <c r="A42" t="str">
        <f>UPPER(IF(LEFT('Step 1'!$A$3,11)="Application",'Step 1'!B34,'Step 1'!B33))</f>
        <v>0</v>
      </c>
      <c r="B42">
        <f>IF(LEFT('Step 1'!$A$3,11)="Application",'Step 1'!A34,'Step 1'!A33)</f>
        <v>0</v>
      </c>
    </row>
    <row r="43" spans="1:2" x14ac:dyDescent="0.25">
      <c r="A43" t="str">
        <f>UPPER(IF(LEFT('Step 1'!$A$3,11)="Application",'Step 1'!B35,'Step 1'!B34))</f>
        <v>0</v>
      </c>
      <c r="B43">
        <f>IF(LEFT('Step 1'!$A$3,11)="Application",'Step 1'!A35,'Step 1'!A34)</f>
        <v>0</v>
      </c>
    </row>
    <row r="44" spans="1:2" x14ac:dyDescent="0.25">
      <c r="A44" t="str">
        <f>UPPER(IF(LEFT('Step 1'!$A$3,11)="Application",'Step 1'!B36,'Step 1'!B35))</f>
        <v>0</v>
      </c>
      <c r="B44">
        <f>IF(LEFT('Step 1'!$A$3,11)="Application",'Step 1'!A36,'Step 1'!A35)</f>
        <v>0</v>
      </c>
    </row>
    <row r="45" spans="1:2" x14ac:dyDescent="0.25">
      <c r="A45" t="str">
        <f>UPPER(IF(LEFT('Step 1'!$A$3,11)="Application",'Step 1'!B37,'Step 1'!B36))</f>
        <v>0</v>
      </c>
      <c r="B45">
        <f>IF(LEFT('Step 1'!$A$3,11)="Application",'Step 1'!A37,'Step 1'!A36)</f>
        <v>0</v>
      </c>
    </row>
    <row r="46" spans="1:2" x14ac:dyDescent="0.25">
      <c r="A46" t="str">
        <f>UPPER(IF(LEFT('Step 1'!$A$3,11)="Application",'Step 1'!B38,'Step 1'!B37))</f>
        <v>0</v>
      </c>
      <c r="B46">
        <f>IF(LEFT('Step 1'!$A$3,11)="Application",'Step 1'!A38,'Step 1'!A37)</f>
        <v>0</v>
      </c>
    </row>
    <row r="47" spans="1:2" x14ac:dyDescent="0.25">
      <c r="A47" t="str">
        <f>UPPER(IF(LEFT('Step 1'!$A$3,11)="Application",'Step 1'!B39,'Step 1'!B38))</f>
        <v>0</v>
      </c>
      <c r="B47">
        <f>IF(LEFT('Step 1'!$A$3,11)="Application",'Step 1'!A39,'Step 1'!A38)</f>
        <v>0</v>
      </c>
    </row>
    <row r="48" spans="1:2" x14ac:dyDescent="0.25">
      <c r="A48" t="str">
        <f>UPPER(IF(LEFT('Step 1'!$A$3,11)="Application",'Step 1'!B40,'Step 1'!B39))</f>
        <v>0</v>
      </c>
      <c r="B48">
        <f>IF(LEFT('Step 1'!$A$3,11)="Application",'Step 1'!A40,'Step 1'!A39)</f>
        <v>0</v>
      </c>
    </row>
    <row r="49" spans="1:2" x14ac:dyDescent="0.25">
      <c r="A49" t="str">
        <f>UPPER(IF(LEFT('Step 1'!$A$3,11)="Application",'Step 1'!B41,'Step 1'!B40))</f>
        <v>0</v>
      </c>
      <c r="B49">
        <f>IF(LEFT('Step 1'!$A$3,11)="Application",'Step 1'!A41,'Step 1'!A40)</f>
        <v>0</v>
      </c>
    </row>
    <row r="50" spans="1:2" x14ac:dyDescent="0.25">
      <c r="A50" t="str">
        <f>UPPER(IF(LEFT('Step 1'!$A$3,11)="Application",'Step 1'!B42,'Step 1'!B41))</f>
        <v>0</v>
      </c>
      <c r="B50">
        <f>IF(LEFT('Step 1'!$A$3,11)="Application",'Step 1'!A42,'Step 1'!A41)</f>
        <v>0</v>
      </c>
    </row>
    <row r="51" spans="1:2" x14ac:dyDescent="0.25">
      <c r="A51" t="str">
        <f>UPPER(IF(LEFT('Step 1'!$A$3,11)="Application",'Step 1'!B43,'Step 1'!B42))</f>
        <v>0</v>
      </c>
      <c r="B51">
        <f>IF(LEFT('Step 1'!$A$3,11)="Application",'Step 1'!A43,'Step 1'!A42)</f>
        <v>0</v>
      </c>
    </row>
    <row r="52" spans="1:2" x14ac:dyDescent="0.25">
      <c r="A52" t="str">
        <f>UPPER(IF(LEFT('Step 1'!$A$3,11)="Application",'Step 1'!B44,'Step 1'!B43))</f>
        <v>0</v>
      </c>
      <c r="B52">
        <f>IF(LEFT('Step 1'!$A$3,11)="Application",'Step 1'!A44,'Step 1'!A43)</f>
        <v>0</v>
      </c>
    </row>
    <row r="53" spans="1:2" x14ac:dyDescent="0.25">
      <c r="A53" t="str">
        <f>UPPER(IF(LEFT('Step 1'!$A$3,11)="Application",'Step 1'!B45,'Step 1'!B44))</f>
        <v>0</v>
      </c>
      <c r="B53">
        <f>IF(LEFT('Step 1'!$A$3,11)="Application",'Step 1'!A45,'Step 1'!A44)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12"/>
  <sheetViews>
    <sheetView topLeftCell="A181" workbookViewId="0">
      <selection activeCell="A212" sqref="A212"/>
    </sheetView>
  </sheetViews>
  <sheetFormatPr defaultRowHeight="15" x14ac:dyDescent="0.25"/>
  <cols>
    <col min="1" max="1" width="23.140625" style="1" customWidth="1"/>
  </cols>
  <sheetData>
    <row r="1" spans="1:1" x14ac:dyDescent="0.25">
      <c r="A1" s="1" t="str">
        <f>CONCATENATE("flavor_name: ",'Step 1'!A1)</f>
        <v>flavor_name: WOODBERRY FLAVOR</v>
      </c>
    </row>
    <row r="2" spans="1:1" x14ac:dyDescent="0.25">
      <c r="A2" s="1" t="s">
        <v>1</v>
      </c>
    </row>
    <row r="3" spans="1:1" x14ac:dyDescent="0.25">
      <c r="A3" s="1" t="s">
        <v>2</v>
      </c>
    </row>
    <row r="4" spans="1:1" x14ac:dyDescent="0.25">
      <c r="A4" s="1" t="s">
        <v>3</v>
      </c>
    </row>
    <row r="5" spans="1:1" x14ac:dyDescent="0.25">
      <c r="A5" s="1" t="s">
        <v>4</v>
      </c>
    </row>
    <row r="6" spans="1:1" x14ac:dyDescent="0.25">
      <c r="A6" s="1" t="str">
        <f>CONCATENATE("  amount: ",SUM('Step 1'!A:A))</f>
        <v xml:space="preserve">  amount: 100</v>
      </c>
    </row>
    <row r="7" spans="1:1" x14ac:dyDescent="0.25">
      <c r="A7" s="1" t="s">
        <v>5</v>
      </c>
    </row>
    <row r="8" spans="1:1" x14ac:dyDescent="0.25">
      <c r="A8" s="1" t="str">
        <f>IF(LEFT('Step 1'!A3,11)="Application",'Step 1'!A3,"")</f>
        <v/>
      </c>
    </row>
    <row r="10" spans="1:1" x14ac:dyDescent="0.25">
      <c r="A10" s="1" t="str">
        <f>CONCATENATE("info: ",IF(LEFT('Step 1'!A3,11)="Application",'Step 1'!A4,'Step 1'!A3))</f>
        <v>info: Patent 7,105,194 Organoleptic compositions: use of 3-mercapto alkanoic acid esters as flavor ingredients</v>
      </c>
    </row>
    <row r="12" spans="1:1" x14ac:dyDescent="0.25">
      <c r="A12" s="1" t="s">
        <v>6</v>
      </c>
    </row>
    <row r="14" spans="1:1" x14ac:dyDescent="0.25">
      <c r="A14" s="1" t="str">
        <f>'Step 2'!A14</f>
        <v>BENZYL ACETATE</v>
      </c>
    </row>
    <row r="15" spans="1:1" x14ac:dyDescent="0.25">
      <c r="A15" s="1">
        <f>'Step 2'!B14</f>
        <v>0.5</v>
      </c>
    </row>
    <row r="16" spans="1:1" x14ac:dyDescent="0.25">
      <c r="A16" s="1" t="s">
        <v>7</v>
      </c>
    </row>
    <row r="17" spans="1:1" x14ac:dyDescent="0.25">
      <c r="A17" s="1" t="s">
        <v>8</v>
      </c>
    </row>
    <row r="19" spans="1:1" x14ac:dyDescent="0.25">
      <c r="A19" s="1" t="str">
        <f>UPPER(IF(A14='Step 1'!B5,'Step 1'!B6,""))</f>
        <v>ETHYL ACETATE</v>
      </c>
    </row>
    <row r="20" spans="1:1" x14ac:dyDescent="0.25">
      <c r="A20" s="1">
        <f>IF(A15='Step 1'!A5,'Step 1'!A6,"")</f>
        <v>4</v>
      </c>
    </row>
    <row r="21" spans="1:1" x14ac:dyDescent="0.25">
      <c r="A21" s="1" t="s">
        <v>7</v>
      </c>
    </row>
    <row r="22" spans="1:1" x14ac:dyDescent="0.25">
      <c r="A22" s="1" t="s">
        <v>8</v>
      </c>
    </row>
    <row r="24" spans="1:1" x14ac:dyDescent="0.25">
      <c r="A24" s="1" t="str">
        <f>UPPER(IF(A19='Step 1'!B6,'Step 1'!B7,""))</f>
        <v>ETHYL ISOVALERATE</v>
      </c>
    </row>
    <row r="25" spans="1:1" x14ac:dyDescent="0.25">
      <c r="A25" s="1">
        <f>IF(A20='Step 1'!A6,'Step 1'!A7,"")</f>
        <v>1.5</v>
      </c>
    </row>
    <row r="26" spans="1:1" x14ac:dyDescent="0.25">
      <c r="A26" s="1" t="s">
        <v>7</v>
      </c>
    </row>
    <row r="27" spans="1:1" x14ac:dyDescent="0.25">
      <c r="A27" s="1" t="s">
        <v>8</v>
      </c>
    </row>
    <row r="29" spans="1:1" x14ac:dyDescent="0.25">
      <c r="A29" s="1" t="str">
        <f>UPPER(IF(A24='Step 1'!B7,'Step 1'!B8,""))</f>
        <v>CIS-3-HEXENOL</v>
      </c>
    </row>
    <row r="30" spans="1:1" x14ac:dyDescent="0.25">
      <c r="A30" s="1">
        <f>IF(A25='Step 1'!A7,'Step 1'!A8,"")</f>
        <v>0.1</v>
      </c>
    </row>
    <row r="31" spans="1:1" x14ac:dyDescent="0.25">
      <c r="A31" s="1" t="s">
        <v>7</v>
      </c>
    </row>
    <row r="32" spans="1:1" x14ac:dyDescent="0.25">
      <c r="A32" s="1" t="s">
        <v>8</v>
      </c>
    </row>
    <row r="34" spans="1:1" x14ac:dyDescent="0.25">
      <c r="A34" s="1" t="str">
        <f>UPPER(IF(A29='Step 1'!B8,'Step 1'!B9,""))</f>
        <v>ALPHA-IONONE</v>
      </c>
    </row>
    <row r="35" spans="1:1" x14ac:dyDescent="0.25">
      <c r="A35" s="1">
        <f>IF(A30='Step 1'!A8,'Step 1'!A9,"")</f>
        <v>0.2</v>
      </c>
    </row>
    <row r="36" spans="1:1" x14ac:dyDescent="0.25">
      <c r="A36" s="1" t="s">
        <v>7</v>
      </c>
    </row>
    <row r="37" spans="1:1" x14ac:dyDescent="0.25">
      <c r="A37" s="1" t="s">
        <v>8</v>
      </c>
    </row>
    <row r="39" spans="1:1" x14ac:dyDescent="0.25">
      <c r="A39" s="1" t="str">
        <f>UPPER(IF(A34='Step 1'!B9,'Step 1'!B10,""))</f>
        <v>LINALOOL</v>
      </c>
    </row>
    <row r="40" spans="1:1" x14ac:dyDescent="0.25">
      <c r="A40" s="1">
        <f>IF(A35='Step 1'!A9,'Step 1'!A10,"")</f>
        <v>0.5</v>
      </c>
    </row>
    <row r="41" spans="1:1" x14ac:dyDescent="0.25">
      <c r="A41" s="1" t="s">
        <v>7</v>
      </c>
    </row>
    <row r="42" spans="1:1" x14ac:dyDescent="0.25">
      <c r="A42" s="1" t="s">
        <v>8</v>
      </c>
    </row>
    <row r="44" spans="1:1" x14ac:dyDescent="0.25">
      <c r="A44" s="1" t="str">
        <f>UPPER(IF(A39='Step 1'!B10,'Step 1'!B11,""))</f>
        <v>ISOAMYL ISOVALERATE</v>
      </c>
    </row>
    <row r="45" spans="1:1" x14ac:dyDescent="0.25">
      <c r="A45" s="1">
        <f>IF(A40='Step 1'!A10,'Step 1'!A11,"")</f>
        <v>0.3</v>
      </c>
    </row>
    <row r="46" spans="1:1" x14ac:dyDescent="0.25">
      <c r="A46" s="1" t="s">
        <v>7</v>
      </c>
    </row>
    <row r="47" spans="1:1" x14ac:dyDescent="0.25">
      <c r="A47" s="1" t="s">
        <v>8</v>
      </c>
    </row>
    <row r="49" spans="1:1" x14ac:dyDescent="0.25">
      <c r="A49" s="1" t="str">
        <f>UPPER(IF(A44='Step 1'!B11,'Step 1'!B12,""))</f>
        <v>RASPBERRY KETONE</v>
      </c>
    </row>
    <row r="50" spans="1:1" x14ac:dyDescent="0.25">
      <c r="A50" s="1">
        <f>IF(A45='Step 1'!A11,'Step 1'!A12,"")</f>
        <v>2</v>
      </c>
    </row>
    <row r="51" spans="1:1" x14ac:dyDescent="0.25">
      <c r="A51" s="1" t="s">
        <v>7</v>
      </c>
    </row>
    <row r="52" spans="1:1" x14ac:dyDescent="0.25">
      <c r="A52" s="1" t="s">
        <v>8</v>
      </c>
    </row>
    <row r="54" spans="1:1" x14ac:dyDescent="0.25">
      <c r="A54" s="1" t="str">
        <f>UPPER(IF(A49='Step 1'!B12,'Step 1'!B13,""))</f>
        <v>OMEGA-PENTADECALACTONE</v>
      </c>
    </row>
    <row r="55" spans="1:1" x14ac:dyDescent="0.25">
      <c r="A55" s="1">
        <f>IF(A50='Step 1'!A12,'Step 1'!A13,"")</f>
        <v>0.4</v>
      </c>
    </row>
    <row r="56" spans="1:1" x14ac:dyDescent="0.25">
      <c r="A56" s="1" t="s">
        <v>7</v>
      </c>
    </row>
    <row r="57" spans="1:1" x14ac:dyDescent="0.25">
      <c r="A57" s="1" t="s">
        <v>8</v>
      </c>
    </row>
    <row r="59" spans="1:1" x14ac:dyDescent="0.25">
      <c r="A59" s="1" t="str">
        <f>UPPER(IF(A54='Step 1'!B13,'Step 1'!B14,""))</f>
        <v>VANILLIN</v>
      </c>
    </row>
    <row r="60" spans="1:1" x14ac:dyDescent="0.25">
      <c r="A60" s="1">
        <f>IF(A55='Step 1'!A13,'Step 1'!A14,"")</f>
        <v>0.5</v>
      </c>
    </row>
    <row r="61" spans="1:1" x14ac:dyDescent="0.25">
      <c r="A61" s="1" t="s">
        <v>7</v>
      </c>
    </row>
    <row r="62" spans="1:1" x14ac:dyDescent="0.25">
      <c r="A62" s="1" t="s">
        <v>8</v>
      </c>
    </row>
    <row r="64" spans="1:1" x14ac:dyDescent="0.25">
      <c r="A64" s="1" t="str">
        <f>UPPER(IF(A59='Step 1'!B14,'Step 1'!B15,""))</f>
        <v>PROPYLENE GLYCOL</v>
      </c>
    </row>
    <row r="65" spans="1:1" x14ac:dyDescent="0.25">
      <c r="A65" s="1">
        <f>IF(A60='Step 1'!A14,'Step 1'!A15,"")</f>
        <v>90</v>
      </c>
    </row>
    <row r="66" spans="1:1" x14ac:dyDescent="0.25">
      <c r="A66" s="1" t="s">
        <v>7</v>
      </c>
    </row>
    <row r="67" spans="1:1" x14ac:dyDescent="0.25">
      <c r="A67" s="1" t="s">
        <v>8</v>
      </c>
    </row>
    <row r="69" spans="1:1" x14ac:dyDescent="0.25">
      <c r="A69" s="1" t="str">
        <f>UPPER(IF(A64='Step 1'!B15,'Step 1'!B16,""))</f>
        <v>0</v>
      </c>
    </row>
    <row r="70" spans="1:1" x14ac:dyDescent="0.25">
      <c r="A70" s="1">
        <f>IF(A65='Step 1'!A15,'Step 1'!A16,"")</f>
        <v>0</v>
      </c>
    </row>
    <row r="71" spans="1:1" x14ac:dyDescent="0.25">
      <c r="A71" s="1" t="s">
        <v>7</v>
      </c>
    </row>
    <row r="72" spans="1:1" x14ac:dyDescent="0.25">
      <c r="A72" s="1" t="s">
        <v>8</v>
      </c>
    </row>
    <row r="74" spans="1:1" x14ac:dyDescent="0.25">
      <c r="A74" s="1" t="str">
        <f>UPPER(IF(A69='Step 1'!B16,'Step 1'!B17,""))</f>
        <v/>
      </c>
    </row>
    <row r="75" spans="1:1" x14ac:dyDescent="0.25">
      <c r="A75" s="1">
        <f>IF(A70='Step 1'!A16,'Step 1'!A17,"")</f>
        <v>0</v>
      </c>
    </row>
    <row r="76" spans="1:1" x14ac:dyDescent="0.25">
      <c r="A76" s="1" t="s">
        <v>7</v>
      </c>
    </row>
    <row r="77" spans="1:1" x14ac:dyDescent="0.25">
      <c r="A77" s="1" t="s">
        <v>8</v>
      </c>
    </row>
    <row r="79" spans="1:1" x14ac:dyDescent="0.25">
      <c r="A79" s="1" t="str">
        <f>UPPER(IF(A74='Step 1'!B17,'Step 1'!B18,""))</f>
        <v/>
      </c>
    </row>
    <row r="80" spans="1:1" x14ac:dyDescent="0.25">
      <c r="A80" s="1">
        <f>IF(A75='Step 1'!A17,'Step 1'!A18,"")</f>
        <v>0</v>
      </c>
    </row>
    <row r="81" spans="1:1" x14ac:dyDescent="0.25">
      <c r="A81" s="1" t="s">
        <v>7</v>
      </c>
    </row>
    <row r="82" spans="1:1" x14ac:dyDescent="0.25">
      <c r="A82" s="1" t="s">
        <v>8</v>
      </c>
    </row>
    <row r="84" spans="1:1" x14ac:dyDescent="0.25">
      <c r="A84" s="1" t="str">
        <f>UPPER(IF(A79='Step 1'!B18,'Step 1'!B19,""))</f>
        <v/>
      </c>
    </row>
    <row r="85" spans="1:1" x14ac:dyDescent="0.25">
      <c r="A85" s="1">
        <f>IF(A80='Step 1'!A18,'Step 1'!A19,"")</f>
        <v>0</v>
      </c>
    </row>
    <row r="86" spans="1:1" x14ac:dyDescent="0.25">
      <c r="A86" s="1" t="s">
        <v>7</v>
      </c>
    </row>
    <row r="87" spans="1:1" x14ac:dyDescent="0.25">
      <c r="A87" s="1" t="s">
        <v>8</v>
      </c>
    </row>
    <row r="89" spans="1:1" x14ac:dyDescent="0.25">
      <c r="A89" s="1" t="str">
        <f>UPPER(IF(A84='Step 1'!B19,'Step 1'!B20,""))</f>
        <v/>
      </c>
    </row>
    <row r="90" spans="1:1" x14ac:dyDescent="0.25">
      <c r="A90" s="1">
        <f>IF(A85='Step 1'!A19,'Step 1'!A20,"")</f>
        <v>0</v>
      </c>
    </row>
    <row r="91" spans="1:1" x14ac:dyDescent="0.25">
      <c r="A91" s="1" t="s">
        <v>7</v>
      </c>
    </row>
    <row r="92" spans="1:1" x14ac:dyDescent="0.25">
      <c r="A92" s="1" t="s">
        <v>8</v>
      </c>
    </row>
    <row r="94" spans="1:1" x14ac:dyDescent="0.25">
      <c r="A94" s="1" t="str">
        <f>UPPER(IF(A89='Step 1'!B20,'Step 1'!B21,""))</f>
        <v/>
      </c>
    </row>
    <row r="95" spans="1:1" x14ac:dyDescent="0.25">
      <c r="A95" s="1">
        <f>IF(A90='Step 1'!A20,'Step 1'!A21,"")</f>
        <v>0</v>
      </c>
    </row>
    <row r="96" spans="1:1" x14ac:dyDescent="0.25">
      <c r="A96" s="1" t="s">
        <v>7</v>
      </c>
    </row>
    <row r="97" spans="1:1" x14ac:dyDescent="0.25">
      <c r="A97" s="1" t="s">
        <v>8</v>
      </c>
    </row>
    <row r="99" spans="1:1" x14ac:dyDescent="0.25">
      <c r="A99" s="1" t="str">
        <f>UPPER(IF(A94='Step 1'!B21,'Step 1'!B22,""))</f>
        <v/>
      </c>
    </row>
    <row r="100" spans="1:1" x14ac:dyDescent="0.25">
      <c r="A100" s="1">
        <f>IF(A95='Step 1'!A21,'Step 1'!A22,"")</f>
        <v>0</v>
      </c>
    </row>
    <row r="101" spans="1:1" x14ac:dyDescent="0.25">
      <c r="A101" s="1" t="s">
        <v>7</v>
      </c>
    </row>
    <row r="102" spans="1:1" x14ac:dyDescent="0.25">
      <c r="A102" s="1" t="s">
        <v>8</v>
      </c>
    </row>
    <row r="104" spans="1:1" x14ac:dyDescent="0.25">
      <c r="A104" s="1" t="str">
        <f>UPPER(IF(A99='Step 1'!B22,'Step 1'!B23,""))</f>
        <v/>
      </c>
    </row>
    <row r="105" spans="1:1" x14ac:dyDescent="0.25">
      <c r="A105" s="1">
        <f>IF(A100='Step 1'!A22,'Step 1'!A23,"")</f>
        <v>0</v>
      </c>
    </row>
    <row r="106" spans="1:1" x14ac:dyDescent="0.25">
      <c r="A106" s="1" t="s">
        <v>7</v>
      </c>
    </row>
    <row r="107" spans="1:1" x14ac:dyDescent="0.25">
      <c r="A107" s="1" t="s">
        <v>8</v>
      </c>
    </row>
    <row r="109" spans="1:1" x14ac:dyDescent="0.25">
      <c r="A109" s="1" t="str">
        <f>UPPER(IF(A104='Step 1'!B23,'Step 1'!B24,""))</f>
        <v/>
      </c>
    </row>
    <row r="110" spans="1:1" x14ac:dyDescent="0.25">
      <c r="A110" s="1">
        <f>IF(A105='Step 1'!A23,'Step 1'!A24,"")</f>
        <v>0</v>
      </c>
    </row>
    <row r="111" spans="1:1" x14ac:dyDescent="0.25">
      <c r="A111" s="1" t="s">
        <v>7</v>
      </c>
    </row>
    <row r="112" spans="1:1" x14ac:dyDescent="0.25">
      <c r="A112" s="1" t="s">
        <v>8</v>
      </c>
    </row>
    <row r="114" spans="1:1" x14ac:dyDescent="0.25">
      <c r="A114" s="1" t="str">
        <f>UPPER(IF(A109='Step 1'!B24,'Step 1'!B25,""))</f>
        <v/>
      </c>
    </row>
    <row r="115" spans="1:1" x14ac:dyDescent="0.25">
      <c r="A115" s="1">
        <f>IF(A110='Step 1'!A24,'Step 1'!A25,"")</f>
        <v>0</v>
      </c>
    </row>
    <row r="116" spans="1:1" x14ac:dyDescent="0.25">
      <c r="A116" s="1" t="s">
        <v>7</v>
      </c>
    </row>
    <row r="117" spans="1:1" x14ac:dyDescent="0.25">
      <c r="A117" s="1" t="s">
        <v>8</v>
      </c>
    </row>
    <row r="119" spans="1:1" x14ac:dyDescent="0.25">
      <c r="A119" s="1" t="str">
        <f>UPPER(IF(A114='Step 1'!B25,'Step 1'!B26,""))</f>
        <v/>
      </c>
    </row>
    <row r="120" spans="1:1" x14ac:dyDescent="0.25">
      <c r="A120" s="1">
        <f>IF(A115='Step 1'!A25,'Step 1'!A26,"")</f>
        <v>0</v>
      </c>
    </row>
    <row r="121" spans="1:1" x14ac:dyDescent="0.25">
      <c r="A121" s="1" t="s">
        <v>7</v>
      </c>
    </row>
    <row r="122" spans="1:1" x14ac:dyDescent="0.25">
      <c r="A122" s="1" t="s">
        <v>8</v>
      </c>
    </row>
    <row r="124" spans="1:1" x14ac:dyDescent="0.25">
      <c r="A124" s="1" t="str">
        <f>UPPER(IF(A119='Step 1'!B26,'Step 1'!B27,""))</f>
        <v/>
      </c>
    </row>
    <row r="125" spans="1:1" x14ac:dyDescent="0.25">
      <c r="A125" s="1">
        <f>IF(A120='Step 1'!A26,'Step 1'!A27,"")</f>
        <v>0</v>
      </c>
    </row>
    <row r="126" spans="1:1" x14ac:dyDescent="0.25">
      <c r="A126" s="1" t="s">
        <v>7</v>
      </c>
    </row>
    <row r="127" spans="1:1" x14ac:dyDescent="0.25">
      <c r="A127" s="1" t="s">
        <v>8</v>
      </c>
    </row>
    <row r="129" spans="1:1" x14ac:dyDescent="0.25">
      <c r="A129" s="1" t="str">
        <f>UPPER(IF(A124='Step 1'!B27,'Step 1'!B28,""))</f>
        <v/>
      </c>
    </row>
    <row r="130" spans="1:1" x14ac:dyDescent="0.25">
      <c r="A130" s="1">
        <f>IF(A125='Step 1'!A27,'Step 1'!A28,"")</f>
        <v>0</v>
      </c>
    </row>
    <row r="131" spans="1:1" x14ac:dyDescent="0.25">
      <c r="A131" s="1" t="s">
        <v>7</v>
      </c>
    </row>
    <row r="132" spans="1:1" x14ac:dyDescent="0.25">
      <c r="A132" s="1" t="s">
        <v>8</v>
      </c>
    </row>
    <row r="134" spans="1:1" x14ac:dyDescent="0.25">
      <c r="A134" s="1" t="str">
        <f>UPPER(IF(A129='Step 1'!B28,'Step 1'!B29,""))</f>
        <v/>
      </c>
    </row>
    <row r="135" spans="1:1" x14ac:dyDescent="0.25">
      <c r="A135" s="1">
        <f>IF(A130='Step 1'!A28,'Step 1'!A29,"")</f>
        <v>0</v>
      </c>
    </row>
    <row r="136" spans="1:1" x14ac:dyDescent="0.25">
      <c r="A136" s="1" t="s">
        <v>7</v>
      </c>
    </row>
    <row r="137" spans="1:1" x14ac:dyDescent="0.25">
      <c r="A137" s="1" t="s">
        <v>8</v>
      </c>
    </row>
    <row r="139" spans="1:1" x14ac:dyDescent="0.25">
      <c r="A139" s="1" t="str">
        <f>UPPER(IF(A134='Step 1'!B29,'Step 1'!B30,""))</f>
        <v/>
      </c>
    </row>
    <row r="140" spans="1:1" x14ac:dyDescent="0.25">
      <c r="A140" s="1">
        <f>IF(A135='Step 1'!A29,'Step 1'!A30,"")</f>
        <v>0</v>
      </c>
    </row>
    <row r="141" spans="1:1" x14ac:dyDescent="0.25">
      <c r="A141" s="1" t="s">
        <v>7</v>
      </c>
    </row>
    <row r="142" spans="1:1" x14ac:dyDescent="0.25">
      <c r="A142" s="1" t="s">
        <v>8</v>
      </c>
    </row>
    <row r="144" spans="1:1" x14ac:dyDescent="0.25">
      <c r="A144" s="1" t="str">
        <f>UPPER(IF(A139='Step 1'!B30,'Step 1'!B31,""))</f>
        <v/>
      </c>
    </row>
    <row r="145" spans="1:1" x14ac:dyDescent="0.25">
      <c r="A145" s="1">
        <f>IF(A140='Step 1'!A30,'Step 1'!A31,"")</f>
        <v>0</v>
      </c>
    </row>
    <row r="146" spans="1:1" x14ac:dyDescent="0.25">
      <c r="A146" s="1" t="s">
        <v>7</v>
      </c>
    </row>
    <row r="147" spans="1:1" x14ac:dyDescent="0.25">
      <c r="A147" s="1" t="s">
        <v>8</v>
      </c>
    </row>
    <row r="149" spans="1:1" x14ac:dyDescent="0.25">
      <c r="A149" s="1" t="str">
        <f>UPPER(IF(A144='Step 1'!B31,'Step 1'!B32,""))</f>
        <v/>
      </c>
    </row>
    <row r="150" spans="1:1" x14ac:dyDescent="0.25">
      <c r="A150" s="1">
        <f>IF(A145='Step 1'!A31,'Step 1'!A32,"")</f>
        <v>0</v>
      </c>
    </row>
    <row r="151" spans="1:1" x14ac:dyDescent="0.25">
      <c r="A151" s="1" t="s">
        <v>7</v>
      </c>
    </row>
    <row r="152" spans="1:1" x14ac:dyDescent="0.25">
      <c r="A152" s="1" t="s">
        <v>8</v>
      </c>
    </row>
    <row r="154" spans="1:1" x14ac:dyDescent="0.25">
      <c r="A154" s="1" t="str">
        <f>UPPER(IF(A149='Step 1'!B32,'Step 1'!B33,""))</f>
        <v/>
      </c>
    </row>
    <row r="155" spans="1:1" x14ac:dyDescent="0.25">
      <c r="A155" s="1">
        <f>IF(A150='Step 1'!A32,'Step 1'!A33,"")</f>
        <v>0</v>
      </c>
    </row>
    <row r="156" spans="1:1" x14ac:dyDescent="0.25">
      <c r="A156" s="1" t="s">
        <v>7</v>
      </c>
    </row>
    <row r="157" spans="1:1" x14ac:dyDescent="0.25">
      <c r="A157" s="1" t="s">
        <v>8</v>
      </c>
    </row>
    <row r="159" spans="1:1" x14ac:dyDescent="0.25">
      <c r="A159" s="1" t="str">
        <f>UPPER(IF(A154='Step 1'!B33,'Step 1'!B34,""))</f>
        <v/>
      </c>
    </row>
    <row r="160" spans="1:1" x14ac:dyDescent="0.25">
      <c r="A160" s="1">
        <f>IF(A155='Step 1'!A33,'Step 1'!A34,"")</f>
        <v>0</v>
      </c>
    </row>
    <row r="161" spans="1:1" x14ac:dyDescent="0.25">
      <c r="A161" s="1" t="s">
        <v>7</v>
      </c>
    </row>
    <row r="162" spans="1:1" x14ac:dyDescent="0.25">
      <c r="A162" s="1" t="s">
        <v>8</v>
      </c>
    </row>
    <row r="164" spans="1:1" x14ac:dyDescent="0.25">
      <c r="A164" s="1" t="str">
        <f>UPPER(IF(A159='Step 1'!B34,'Step 1'!B35,""))</f>
        <v/>
      </c>
    </row>
    <row r="165" spans="1:1" x14ac:dyDescent="0.25">
      <c r="A165" s="1">
        <f>IF(A160='Step 1'!A34,'Step 1'!A35,"")</f>
        <v>0</v>
      </c>
    </row>
    <row r="166" spans="1:1" x14ac:dyDescent="0.25">
      <c r="A166" s="1" t="s">
        <v>7</v>
      </c>
    </row>
    <row r="167" spans="1:1" x14ac:dyDescent="0.25">
      <c r="A167" s="1" t="s">
        <v>8</v>
      </c>
    </row>
    <row r="169" spans="1:1" x14ac:dyDescent="0.25">
      <c r="A169" s="1" t="str">
        <f>UPPER(IF(A164='Step 1'!B35,'Step 1'!B36,""))</f>
        <v/>
      </c>
    </row>
    <row r="170" spans="1:1" x14ac:dyDescent="0.25">
      <c r="A170" s="1">
        <f>IF(A165='Step 1'!A35,'Step 1'!A36,"")</f>
        <v>0</v>
      </c>
    </row>
    <row r="171" spans="1:1" x14ac:dyDescent="0.25">
      <c r="A171" s="1" t="s">
        <v>7</v>
      </c>
    </row>
    <row r="172" spans="1:1" x14ac:dyDescent="0.25">
      <c r="A172" s="1" t="s">
        <v>8</v>
      </c>
    </row>
    <row r="174" spans="1:1" x14ac:dyDescent="0.25">
      <c r="A174" s="1" t="str">
        <f>UPPER(IF(A169='Step 1'!B36,'Step 1'!B37,""))</f>
        <v/>
      </c>
    </row>
    <row r="175" spans="1:1" x14ac:dyDescent="0.25">
      <c r="A175" s="1">
        <f>IF(A170='Step 1'!A36,'Step 1'!A37,"")</f>
        <v>0</v>
      </c>
    </row>
    <row r="176" spans="1:1" x14ac:dyDescent="0.25">
      <c r="A176" s="1" t="s">
        <v>7</v>
      </c>
    </row>
    <row r="177" spans="1:1" x14ac:dyDescent="0.25">
      <c r="A177" s="1" t="s">
        <v>8</v>
      </c>
    </row>
    <row r="179" spans="1:1" x14ac:dyDescent="0.25">
      <c r="A179" s="1" t="str">
        <f>UPPER(IF(A174='Step 1'!B37,'Step 1'!B38,""))</f>
        <v/>
      </c>
    </row>
    <row r="180" spans="1:1" x14ac:dyDescent="0.25">
      <c r="A180" s="1">
        <f>IF(A175='Step 1'!A37,'Step 1'!A38,"")</f>
        <v>0</v>
      </c>
    </row>
    <row r="181" spans="1:1" x14ac:dyDescent="0.25">
      <c r="A181" s="1" t="s">
        <v>7</v>
      </c>
    </row>
    <row r="182" spans="1:1" x14ac:dyDescent="0.25">
      <c r="A182" s="1" t="s">
        <v>8</v>
      </c>
    </row>
    <row r="184" spans="1:1" x14ac:dyDescent="0.25">
      <c r="A184" s="1" t="str">
        <f>UPPER(IF(A179='Step 1'!B38,'Step 1'!B39,""))</f>
        <v/>
      </c>
    </row>
    <row r="185" spans="1:1" x14ac:dyDescent="0.25">
      <c r="A185" s="1">
        <f>IF(A180='Step 1'!A38,'Step 1'!A39,"")</f>
        <v>0</v>
      </c>
    </row>
    <row r="186" spans="1:1" x14ac:dyDescent="0.25">
      <c r="A186" s="1" t="s">
        <v>7</v>
      </c>
    </row>
    <row r="187" spans="1:1" x14ac:dyDescent="0.25">
      <c r="A187" s="1" t="s">
        <v>8</v>
      </c>
    </row>
    <row r="189" spans="1:1" x14ac:dyDescent="0.25">
      <c r="A189" s="1" t="str">
        <f>UPPER(IF(A184='Step 1'!B39,'Step 1'!B40,""))</f>
        <v/>
      </c>
    </row>
    <row r="190" spans="1:1" x14ac:dyDescent="0.25">
      <c r="A190" s="1">
        <f>IF(A185='Step 1'!A39,'Step 1'!A40,"")</f>
        <v>0</v>
      </c>
    </row>
    <row r="191" spans="1:1" x14ac:dyDescent="0.25">
      <c r="A191" s="1" t="s">
        <v>7</v>
      </c>
    </row>
    <row r="192" spans="1:1" x14ac:dyDescent="0.25">
      <c r="A192" s="1" t="s">
        <v>8</v>
      </c>
    </row>
    <row r="194" spans="1:1" x14ac:dyDescent="0.25">
      <c r="A194" s="1" t="str">
        <f>UPPER(IF(A189='Step 1'!B40,'Step 1'!B41,""))</f>
        <v/>
      </c>
    </row>
    <row r="195" spans="1:1" x14ac:dyDescent="0.25">
      <c r="A195" s="1">
        <f>IF(A190='Step 1'!A40,'Step 1'!A41,"")</f>
        <v>0</v>
      </c>
    </row>
    <row r="196" spans="1:1" x14ac:dyDescent="0.25">
      <c r="A196" s="1" t="s">
        <v>7</v>
      </c>
    </row>
    <row r="197" spans="1:1" x14ac:dyDescent="0.25">
      <c r="A197" s="1" t="s">
        <v>8</v>
      </c>
    </row>
    <row r="199" spans="1:1" x14ac:dyDescent="0.25">
      <c r="A199" s="1" t="str">
        <f>UPPER(IF(A194='Step 1'!B41,'Step 1'!B42,""))</f>
        <v/>
      </c>
    </row>
    <row r="200" spans="1:1" x14ac:dyDescent="0.25">
      <c r="A200" s="1">
        <f>IF(A195='Step 1'!A41,'Step 1'!A42,"")</f>
        <v>0</v>
      </c>
    </row>
    <row r="201" spans="1:1" x14ac:dyDescent="0.25">
      <c r="A201" s="1" t="s">
        <v>7</v>
      </c>
    </row>
    <row r="202" spans="1:1" x14ac:dyDescent="0.25">
      <c r="A202" s="1" t="s">
        <v>8</v>
      </c>
    </row>
    <row r="204" spans="1:1" x14ac:dyDescent="0.25">
      <c r="A204" s="1" t="str">
        <f>UPPER(IF(A199='Step 1'!B42,'Step 1'!B43,""))</f>
        <v/>
      </c>
    </row>
    <row r="205" spans="1:1" x14ac:dyDescent="0.25">
      <c r="A205" s="1">
        <f>IF(A200='Step 1'!A42,'Step 1'!A43,"")</f>
        <v>0</v>
      </c>
    </row>
    <row r="206" spans="1:1" x14ac:dyDescent="0.25">
      <c r="A206" s="1" t="s">
        <v>7</v>
      </c>
    </row>
    <row r="207" spans="1:1" x14ac:dyDescent="0.25">
      <c r="A207" s="1" t="s">
        <v>8</v>
      </c>
    </row>
    <row r="209" spans="1:1" x14ac:dyDescent="0.25">
      <c r="A209" s="1" t="str">
        <f>UPPER(IF(A204='Step 1'!B43,'Step 1'!B44,""))</f>
        <v/>
      </c>
    </row>
    <row r="210" spans="1:1" x14ac:dyDescent="0.25">
      <c r="A210" s="1">
        <f>IF(A205='Step 1'!A43,'Step 1'!A44,"")</f>
        <v>0</v>
      </c>
    </row>
    <row r="211" spans="1:1" x14ac:dyDescent="0.25">
      <c r="A211" s="1" t="s">
        <v>7</v>
      </c>
    </row>
    <row r="212" spans="1:1" x14ac:dyDescent="0.25">
      <c r="A212" s="1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Paste</vt:lpstr>
      <vt:lpstr>Copy</vt:lpstr>
      <vt:lpstr>Step 1</vt:lpstr>
      <vt:lpstr>Step 2</vt:lpstr>
      <vt:lpstr>Step 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 Long Temp</dc:creator>
  <cp:lastModifiedBy>Jing Long Temp</cp:lastModifiedBy>
  <dcterms:created xsi:type="dcterms:W3CDTF">2017-08-28T04:16:19Z</dcterms:created>
  <dcterms:modified xsi:type="dcterms:W3CDTF">2017-08-29T08:04:11Z</dcterms:modified>
</cp:coreProperties>
</file>